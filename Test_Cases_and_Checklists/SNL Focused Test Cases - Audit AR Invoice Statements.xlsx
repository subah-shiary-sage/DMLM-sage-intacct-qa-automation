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sage365-my.sharepoint.com/personal/subah_shiary_sage_com/Documents/Documents/Sage intacct automation - MCP/Test_Cases_and_Checklists/"/>
    </mc:Choice>
  </mc:AlternateContent>
  <xr:revisionPtr revIDLastSave="0" documentId="11_18D1652BDAD12FC826A642EF8F9B785D293BB824" xr6:coauthVersionLast="47" xr6:coauthVersionMax="47" xr10:uidLastSave="{00000000-0000-0000-0000-000000000000}"/>
  <bookViews>
    <workbookView xWindow="-120" yWindow="-120" windowWidth="29040" windowHeight="15720" activeTab="4" xr2:uid="{00000000-000D-0000-FFFF-FFFF00000000}"/>
  </bookViews>
  <sheets>
    <sheet name="Summary" sheetId="1" r:id="rId1"/>
    <sheet name="Audit Trail" sheetId="2" r:id="rId2"/>
    <sheet name="AR Payment and Reversal" sheetId="3" r:id="rId3"/>
    <sheet name="Invoice UI" sheetId="4" r:id="rId4"/>
    <sheet name="Standard Statements" sheetId="5" r:id="rId5"/>
  </sheets>
  <definedNames>
    <definedName name="_xlnm._FilterDatabase" localSheetId="2" hidden="1">'AR Payment and Reversal'!$A$6:$J$30</definedName>
    <definedName name="_xlnm._FilterDatabase" localSheetId="1" hidden="1">'Audit Trail'!$A$6:$J$30</definedName>
    <definedName name="_xlnm._FilterDatabase" localSheetId="3" hidden="1">'Invoice UI'!$A$6:$J$33</definedName>
    <definedName name="_xlnm._FilterDatabase" localSheetId="4" hidden="1">'Standard Statements'!$A$6:$J$32</definedName>
    <definedName name="_xlnm.Print_Titles" localSheetId="2">'AR Payment and Reversal'!$1:$6</definedName>
    <definedName name="_xlnm.Print_Titles" localSheetId="1">'Audit Trail'!$1:$6</definedName>
    <definedName name="_xlnm.Print_Titles" localSheetId="3">'Invoice UI'!$1:$6</definedName>
    <definedName name="_xlnm.Print_Titles" localSheetId="4">'Standard Statements'!$1:$6</definedName>
  </definedName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8" i="1" l="1"/>
  <c r="G8" i="1"/>
  <c r="F8" i="1"/>
  <c r="E8" i="1"/>
  <c r="D8" i="1"/>
  <c r="C8" i="1"/>
  <c r="H7" i="1"/>
  <c r="G7" i="1"/>
  <c r="F7" i="1"/>
  <c r="E7" i="1"/>
  <c r="D7" i="1"/>
  <c r="C7" i="1"/>
  <c r="H6" i="1"/>
  <c r="G6" i="1"/>
  <c r="F6" i="1"/>
  <c r="E6" i="1"/>
  <c r="D6" i="1"/>
  <c r="C6" i="1"/>
  <c r="H5" i="1"/>
  <c r="G5" i="1"/>
  <c r="G9" i="1" s="1"/>
  <c r="F5" i="1"/>
  <c r="E5" i="1"/>
  <c r="E9" i="1" s="1"/>
  <c r="D5" i="1"/>
  <c r="D9" i="1" s="1"/>
  <c r="C5" i="1"/>
  <c r="C9" i="1" s="1"/>
  <c r="F9" i="1" l="1"/>
  <c r="H9" i="1"/>
</calcChain>
</file>

<file path=xl/sharedStrings.xml><?xml version="1.0" encoding="utf-8"?>
<sst xmlns="http://schemas.openxmlformats.org/spreadsheetml/2006/main" count="863" uniqueCount="478">
  <si>
    <t>SNL Focused Test Cases - Audit, AR Payment, Invoice, and Standard Statements</t>
  </si>
  <si>
    <t>Simple test cases based on the current SNL baseline and local implementation evidence. All cases start as Not Executed.</t>
  </si>
  <si>
    <t>Module</t>
  </si>
  <si>
    <t>Area</t>
  </si>
  <si>
    <t>Test Cases</t>
  </si>
  <si>
    <t>Automated</t>
  </si>
  <si>
    <t>Passed</t>
  </si>
  <si>
    <t>Failed</t>
  </si>
  <si>
    <t>Not Executed</t>
  </si>
  <si>
    <t>Blocked</t>
  </si>
  <si>
    <t>View Audit Trail - UI and Features</t>
  </si>
  <si>
    <t>Lending Management</t>
  </si>
  <si>
    <t>AR Payment and Reversal Using Loan Invoices</t>
  </si>
  <si>
    <t>Loan Invoice - Full UI Coverage</t>
  </si>
  <si>
    <t>Standard Automation - Statement Generation and Reversal</t>
  </si>
  <si>
    <t>TOTAL</t>
  </si>
  <si>
    <t>Coverage basis</t>
  </si>
  <si>
    <t>1. Requirement references come from the current SNL client workbook, including PR #1457 sections already captured there.</t>
  </si>
  <si>
    <t>2. Audit trail entry points are implemented in the current loan account, loan type, and category page objects and tests.</t>
  </si>
  <si>
    <t>3. Local Lending Workbench tests cover interest and invoice generation, statement generation, reversal, regeneration, and balance carry-forward.</t>
  </si>
  <si>
    <t>4. Cases that are not proven by current automation stay marked Not Executed for manual verification.</t>
  </si>
  <si>
    <t>5. Suggested local evidence: pages/loan_account/account_page.py, tests/lending_workbench/test_workbench_e2e.py, and tests/lending_workbench/test_workbench_behavior.py.</t>
  </si>
  <si>
    <t>Common Preconditions</t>
  </si>
  <si>
    <t>1. User is signed in to Sage Intacct.
2. The correct Lending Management entity is selected.
3. Lending Management is enabled.
4. The user has the needed permission.
5. Required loan, customer, invoice, and setup records are active.</t>
  </si>
  <si>
    <t>Navigation: Applications &gt; Lending Management &gt; Record View &gt; More actions &gt; View audit trail | Client baseline | 20 test cases | Updated 2026-08-28</t>
  </si>
  <si>
    <t>Test Case ID</t>
  </si>
  <si>
    <t>Test Scenario</t>
  </si>
  <si>
    <t>Preconditions</t>
  </si>
  <si>
    <t>Test Data</t>
  </si>
  <si>
    <t>Test Steps</t>
  </si>
  <si>
    <t>Expected Result</t>
  </si>
  <si>
    <t>Requirement/Jira Reference</t>
  </si>
  <si>
    <t>IS Automated</t>
  </si>
  <si>
    <t>Status</t>
  </si>
  <si>
    <t>Comments</t>
  </si>
  <si>
    <t>ACCESS AND NAVIGATION  (4 test cases)</t>
  </si>
  <si>
    <t>SNL-AUD-001</t>
  </si>
  <si>
    <t>Show the More actions button on a record View page</t>
  </si>
  <si>
    <t>Refer to Common Preconditions above.</t>
  </si>
  <si>
    <t>Record: LOAN-QA-001</t>
  </si>
  <si>
    <t>1. Sign in to Sage Intacct.
2. Go to Applications &gt; Lending Management &gt; Record View &gt; More actions &gt; View audit trail.
3. Prepare the test data: Open an active loan record.
4. Look at the page header.
5. Save or confirm when needed.
6. Check the page and related records.</t>
  </si>
  <si>
    <t>The More actions button is visible and enabled.</t>
  </si>
  <si>
    <t>Audit trail UI and feature requirement; Jira reference TBD</t>
  </si>
  <si>
    <t>TBD</t>
  </si>
  <si>
    <t>Implemented in the current loan account page object.</t>
  </si>
  <si>
    <t>SNL-AUD-002</t>
  </si>
  <si>
    <t>Show View audit trail in the More actions menu</t>
  </si>
  <si>
    <t>1. Sign in to Sage Intacct.
2. Go to Applications &gt; Lending Management &gt; Record View &gt; More actions &gt; View audit trail.
3. Prepare the test data: Open an active loan record.
4. Open the More actions menu.
5. Save or confirm when needed.
6. Check the page and related records.</t>
  </si>
  <si>
    <t>The menu shows View audit trail.</t>
  </si>
  <si>
    <t>Implemented in loan account, loan type, and category page objects.</t>
  </si>
  <si>
    <t>SNL-AUD-003</t>
  </si>
  <si>
    <t>Open the audit trail for the selected record</t>
  </si>
  <si>
    <t>1. Sign in to Sage Intacct.
2. Go to Applications &gt; Lending Management &gt; Record View &gt; More actions &gt; View audit trail.
3. Prepare the test data: Open an active loan record.
4. Click View audit trail.
5. Save or confirm when needed.
6. Check the page and related records.</t>
  </si>
  <si>
    <t>The audit page opens for LOAN-QA-001.</t>
  </si>
  <si>
    <t>A local UI test confirms the audit view opens.</t>
  </si>
  <si>
    <t>SNL-AUD-004</t>
  </si>
  <si>
    <t>Return from audit trail to the same record</t>
  </si>
  <si>
    <t>1. Sign in to Sage Intacct.
2. Go to Applications &gt; Lending Management &gt; Record View &gt; More actions &gt; View audit trail.
3. Prepare the test data: Open the audit trail.
4. Use Back or the breadcrumb.
5. Save or confirm when needed.
6. Check the page and related records.</t>
  </si>
  <si>
    <t>The same loan record opens without any data change.</t>
  </si>
  <si>
    <t>AUDIT TRAIL UI  (6 test cases)</t>
  </si>
  <si>
    <t>SNL-AUD-005</t>
  </si>
  <si>
    <t>Show a clear audit trail page title</t>
  </si>
  <si>
    <t>1. Sign in to Sage Intacct.
2. Go to Applications &gt; Lending Management &gt; Record View &gt; More actions &gt; View audit trail.
3. Prepare the test data: Open the audit trail.
4. Read the page title.
5. Save or confirm when needed.
6. Check the page and related records.</t>
  </si>
  <si>
    <t>The title clearly says Audit trail and identifies the record.</t>
  </si>
  <si>
    <t>SNL-AUD-006</t>
  </si>
  <si>
    <t>Show the main audit columns</t>
  </si>
  <si>
    <t>1. Sign in to Sage Intacct.
2. Go to Applications &gt; Lending Management &gt; Record View &gt; More actions &gt; View audit trail.
3. Prepare the test data: Open an audit trail with history.
4. Review the column names.
5. Save or confirm when needed.
6. Check the page and related records.</t>
  </si>
  <si>
    <t>The page shows action, user, date and time, field, old value, and new value.</t>
  </si>
  <si>
    <t>SNL-AUD-007</t>
  </si>
  <si>
    <t>Show the newest audit entry first</t>
  </si>
  <si>
    <t>Record: LOAN-QA-001; Latest change: Account name</t>
  </si>
  <si>
    <t>1. Sign in to Sage Intacct.
2. Go to Applications &gt; Lending Management &gt; Record View &gt; More actions &gt; View audit trail.
3. Prepare the test data: Make two changes at different times.
4. Open the audit trail.
5. Save or confirm when needed.
6. Check the page and related records.</t>
  </si>
  <si>
    <t>The latest change is shown before the older change.</t>
  </si>
  <si>
    <t>SNL-AUD-008</t>
  </si>
  <si>
    <t>Show long old and new values clearly</t>
  </si>
  <si>
    <t>Old description: 200 characters; New description: 300 characters</t>
  </si>
  <si>
    <t>1. Sign in to Sage Intacct.
2. Go to Applications &gt; Lending Management &gt; Record View &gt; More actions &gt; View audit trail.
3. Prepare the test data: Update a long description.
4. Open the audit entry.
5. Save or confirm when needed.
6. Check the page and related records.</t>
  </si>
  <si>
    <t>Both values are readable and do not overlap other columns.</t>
  </si>
  <si>
    <t>SNL-AUD-009</t>
  </si>
  <si>
    <t>Show a clear message when there is no history</t>
  </si>
  <si>
    <t>New record: QA-AUDIT-EMPTY-001</t>
  </si>
  <si>
    <t>1. Sign in to Sage Intacct.
2. Go to Applications &gt; Lending Management &gt; Record View &gt; More actions &gt; View audit trail.
3. Prepare the test data: Use a record with no saved change after creation.
4. Open the audit trail.
5. Save or confirm when needed.
6. Check the page and related records.</t>
  </si>
  <si>
    <t>The page shows the available create entry or a clear no-history message.</t>
  </si>
  <si>
    <t>SNL-AUD-010</t>
  </si>
  <si>
    <t>Refresh the audit trail after a new change</t>
  </si>
  <si>
    <t>Record: LOAN-QA-001; Field: Description</t>
  </si>
  <si>
    <t>1. Sign in to Sage Intacct.
2. Go to Applications &gt; Lending Management &gt; Record View &gt; More actions &gt; View audit trail.
3. Prepare the test data: Keep the audit page open and edit the record in another session.
4. Refresh the audit page.
5. Save or confirm when needed.
6. Check the page and related records.</t>
  </si>
  <si>
    <t>The new change appears after refresh.</t>
  </si>
  <si>
    <t>AUDIT DATA  (8 test cases)</t>
  </si>
  <si>
    <t>SNL-AUD-011</t>
  </si>
  <si>
    <t>Record the creation of a new record</t>
  </si>
  <si>
    <t>New loan: LOAN-AUDIT-NEW-001</t>
  </si>
  <si>
    <t>1. Sign in to Sage Intacct.
2. Go to Applications &gt; Lending Management &gt; Record View &gt; More actions &gt; View audit trail.
3. Prepare the test data: Create and save a new loan.
4. Open its audit trail.
5. Save or confirm when needed.
6. Check the page and related records.</t>
  </si>
  <si>
    <t>A Create entry shows the user and creation time.</t>
  </si>
  <si>
    <t>SNL-AUD-012</t>
  </si>
  <si>
    <t>Record one changed field with old and new values</t>
  </si>
  <si>
    <t>Record: LOAN-QA-001; Account name: Old name to New name</t>
  </si>
  <si>
    <t>1. Sign in to Sage Intacct.
2. Go to Applications &gt; Lending Management &gt; Record View &gt; More actions &gt; View audit trail.
3. Prepare the test data: Edit only the account name.
4. Save and open the audit trail.
5. Save or confirm when needed.
6. Check the page and related records.</t>
  </si>
  <si>
    <t>The entry shows Account name, Old name, and New name.</t>
  </si>
  <si>
    <t>SNL-AUD-013</t>
  </si>
  <si>
    <t>Record all fields changed in one save</t>
  </si>
  <si>
    <t>Record: LOAN-QA-001; Amount: 1000 to 1200; Description: A to B</t>
  </si>
  <si>
    <t>1. Sign in to Sage Intacct.
2. Go to Applications &gt; Lending Management &gt; Record View &gt; More actions &gt; View audit trail.
3. Prepare the test data: Change two editable fields.
4. Save and open the audit trail.
5. Save or confirm when needed.
6. Check the page and related records.</t>
  </si>
  <si>
    <t>Both field changes appear under the same save action.</t>
  </si>
  <si>
    <t>SNL-AUD-014</t>
  </si>
  <si>
    <t>Record a status change</t>
  </si>
  <si>
    <t>Record: LOAN-QA-001; Status: Open to Closed</t>
  </si>
  <si>
    <t>1. Sign in to Sage Intacct.
2. Go to Applications &gt; Lending Management &gt; Record View &gt; More actions &gt; View audit trail.
3. Prepare the test data: Change the record status.
4. Save and open the audit trail.
5. Save or confirm when needed.
6. Check the page and related records.</t>
  </si>
  <si>
    <t>The old and new status values are correct.</t>
  </si>
  <si>
    <t>SNL-AUD-015</t>
  </si>
  <si>
    <t>Show the correct user for each change</t>
  </si>
  <si>
    <t>Users: QA-AUDITOR-A and QA-AUDITOR-B</t>
  </si>
  <si>
    <t>1. Sign in to Sage Intacct.
2. Go to Applications &gt; Lending Management &gt; Record View &gt; More actions &gt; View audit trail.
3. Prepare the test data: Save one change with each user.
4. Open the audit trail.
5. Save or confirm when needed.
6. Check the page and related records.</t>
  </si>
  <si>
    <t>Each entry shows the user who made that change.</t>
  </si>
  <si>
    <t>SNL-AUD-016</t>
  </si>
  <si>
    <t>Show the correct date, time, and time zone</t>
  </si>
  <si>
    <t>Change time: 08/28/2026 10:30 AM local time</t>
  </si>
  <si>
    <t>1. Sign in to Sage Intacct.
2. Go to Applications &gt; Lending Management &gt; Record View &gt; More actions &gt; View audit trail.
3. Prepare the test data: Save a known change.
4. Compare the audit time with the save time.
5. Save or confirm when needed.
6. Check the page and related records.</t>
  </si>
  <si>
    <t>The audit time is correct for the company or user time zone.</t>
  </si>
  <si>
    <t>SNL-AUD-017</t>
  </si>
  <si>
    <t>Do not create a false change when no value changed</t>
  </si>
  <si>
    <t>1. Sign in to Sage Intacct.
2. Go to Applications &gt; Lending Management &gt; Record View &gt; More actions &gt; View audit trail.
3. Prepare the test data: Open Edit and leave all values unchanged.
4. Save the record and open the audit trail.
5. Save or confirm when needed.
6. Check the page and related records.</t>
  </si>
  <si>
    <t>No false field-change entry is added.</t>
  </si>
  <si>
    <t>SNL-AUD-018</t>
  </si>
  <si>
    <t>Keep special characters in audited values</t>
  </si>
  <si>
    <t>Description: Fee &amp; tax - 10% (QA)</t>
  </si>
  <si>
    <t>1. Sign in to Sage Intacct.
2. Go to Applications &gt; Lending Management &gt; Record View &gt; More actions &gt; View audit trail.
3. Prepare the test data: Save text with special characters.
4. Open the audit trail.
5. Save or confirm when needed.
6. Check the page and related records.</t>
  </si>
  <si>
    <t>The saved text appears correctly in the new value.</t>
  </si>
  <si>
    <t>SECURITY  (2 test cases)</t>
  </si>
  <si>
    <t>SNL-AUD-019</t>
  </si>
  <si>
    <t>Allow an authorized user to view the audit trail</t>
  </si>
  <si>
    <t>User: QA-AUDIT-ALLOWED</t>
  </si>
  <si>
    <t>1. Sign in to Sage Intacct.
2. Go to Applications &gt; Lending Management &gt; Record View &gt; More actions &gt; View audit trail.
3. Prepare the test data: Give the user audit access.
4. Open View audit trail.
5. Save or confirm when needed.
6. Check the page and related records.</t>
  </si>
  <si>
    <t>The audit page opens and shows data.</t>
  </si>
  <si>
    <t>SNL-AUD-020</t>
  </si>
  <si>
    <t>Block an unauthorized user from audit data</t>
  </si>
  <si>
    <t>User: QA-AUDIT-BLOCKED</t>
  </si>
  <si>
    <t>1. Sign in to Sage Intacct.
2. Go to Applications &gt; Lending Management &gt; Record View &gt; More actions &gt; View audit trail.
3. Prepare the test data: Remove the user's audit permission.
4. Try to open the audit trail.
5. Save or confirm when needed.
6. Check the page and related records.</t>
  </si>
  <si>
    <t>The action is hidden or access is denied with a clear message.</t>
  </si>
  <si>
    <t>Navigation: Applications &gt; Accounts Receivable &gt; Receive payment | Client baseline | 20 test cases | Updated 2026-08-28</t>
  </si>
  <si>
    <t>PAYMENT UI  (5 test cases)</t>
  </si>
  <si>
    <t>SNL-ARP-001</t>
  </si>
  <si>
    <t>Open the AR payment page from Accounts Receivable</t>
  </si>
  <si>
    <t>Customer: CUST-QA-AR-001</t>
  </si>
  <si>
    <t>1. Sign in to Sage Intacct.
2. Go to Applications &gt; Accounts Receivable &gt; Receive payment.
3. Prepare the test data: Use a customer with open loan invoices.
4. Open Receive payment.
5. Save or confirm when needed.
6. Check the page and related records.</t>
  </si>
  <si>
    <t>The payment page opens without an error.</t>
  </si>
  <si>
    <t>LME AR Payment client requirement; Jira reference TBD</t>
  </si>
  <si>
    <t>SNL-ARP-002</t>
  </si>
  <si>
    <t>Show only open invoices for the selected customer</t>
  </si>
  <si>
    <t>Customer: CUST-QA-AR-001; Open invoice: INV-QA-001; Paid invoice: INV-QA-PAID</t>
  </si>
  <si>
    <t>1. Sign in to Sage Intacct.
2. Go to Applications &gt; Accounts Receivable &gt; Receive payment.
3. Prepare the test data: Select the customer.
4. Open the invoice selection list.
5. Save or confirm when needed.
6. Check the page and related records.</t>
  </si>
  <si>
    <t>INV-QA-001 is available and INV-QA-PAID is not available.</t>
  </si>
  <si>
    <t>SNL-ARP-003</t>
  </si>
  <si>
    <t>Show invoice number, date, due date, and open amount</t>
  </si>
  <si>
    <t>Invoice: INV-QA-001</t>
  </si>
  <si>
    <t>1. Sign in to Sage Intacct.
2. Go to Applications &gt; Accounts Receivable &gt; Receive payment.
3. Prepare the test data: Select the customer.
4. Review the invoice grid.
5. Save or confirm when needed.
6. Check the page and related records.</t>
  </si>
  <si>
    <t>The invoice details and open amount are correct.</t>
  </si>
  <si>
    <t>SNL-ARP-004</t>
  </si>
  <si>
    <t>Require the main payment fields</t>
  </si>
  <si>
    <t>Customer: blank; Payment date: blank; Amount: blank</t>
  </si>
  <si>
    <t>1. Sign in to Sage Intacct.
2. Go to Applications &gt; Accounts Receivable &gt; Receive payment.
3. Prepare the test data: Open a new AR payment.
4. Try to save with required fields blank.
5. Save or confirm when needed.
6. Check the page and related records.</t>
  </si>
  <si>
    <t>Save is blocked and each missing field shows a clear message.</t>
  </si>
  <si>
    <t>SNL-ARP-005</t>
  </si>
  <si>
    <t>Block an amount greater than the selected invoice balance</t>
  </si>
  <si>
    <t>Invoice open amount: 100.00; Payment amount: 120.00</t>
  </si>
  <si>
    <t>1. Sign in to Sage Intacct.
2. Go to Applications &gt; Accounts Receivable &gt; Receive payment.
3. Prepare the test data: Select INV-QA-001.
4. Enter 120.00 and save.
5. Save or confirm when needed.
6. Check the page and related records.</t>
  </si>
  <si>
    <t>The payment is blocked or the extra amount needs an allowed handling option.</t>
  </si>
  <si>
    <t>APPLY PAYMENT  (6 test cases)</t>
  </si>
  <si>
    <t>SNL-ARP-006</t>
  </si>
  <si>
    <t>Pay one loan invoice in full</t>
  </si>
  <si>
    <t>Invoice: INV-QA-001; Open amount: 100.00; Payment: 100.00</t>
  </si>
  <si>
    <t>1. Sign in to Sage Intacct.
2. Go to Applications &gt; Accounts Receivable &gt; Receive payment.
3. Prepare the test data: Select one open loan invoice.
4. Enter 100.00 and save.
5. Save or confirm when needed.
6. Check the page and related records.</t>
  </si>
  <si>
    <t>The payment posts and the invoice balance becomes 0.00.</t>
  </si>
  <si>
    <t>SNL-ARP-007</t>
  </si>
  <si>
    <t>Pay one loan invoice partly</t>
  </si>
  <si>
    <t>Invoice: INV-QA-002; Open amount: 200.00; Payment: 75.00</t>
  </si>
  <si>
    <t>1. Sign in to Sage Intacct.
2. Go to Applications &gt; Accounts Receivable &gt; Receive payment.
3. Prepare the test data: Select one open loan invoice.
4. Enter 75.00 and save.
5. Save or confirm when needed.
6. Check the page and related records.</t>
  </si>
  <si>
    <t>The invoice stays open with 125.00 remaining.</t>
  </si>
  <si>
    <t>SNL-ARP-008</t>
  </si>
  <si>
    <t>Pay two loan invoices in one payment</t>
  </si>
  <si>
    <t>Invoice 1: 100.00; Invoice 2: 150.00; Payment: 250.00</t>
  </si>
  <si>
    <t>1. Sign in to Sage Intacct.
2. Go to Applications &gt; Accounts Receivable &gt; Receive payment.
3. Prepare the test data: Select both open invoices.
4. Apply the full amount and save.
5. Save or confirm when needed.
6. Check the page and related records.</t>
  </si>
  <si>
    <t>One payment is applied to both invoices for the correct amounts.</t>
  </si>
  <si>
    <t>SNL-ARP-009</t>
  </si>
  <si>
    <t>Block invoices from another customer</t>
  </si>
  <si>
    <t>Customer A invoice: INV-A; Customer B invoice: INV-B</t>
  </si>
  <si>
    <t>1. Sign in to Sage Intacct.
2. Go to Applications &gt; Accounts Receivable &gt; Receive payment.
3. Prepare the test data: Select Customer A.
4. Try to add INV-B.
5. Save or confirm when needed.
6. Check the page and related records.</t>
  </si>
  <si>
    <t>The invoice from Customer B cannot be selected.</t>
  </si>
  <si>
    <t>SNL-ARP-010</t>
  </si>
  <si>
    <t>Create the loan payment entry for each paid invoice</t>
  </si>
  <si>
    <t>Invoices: INV-QA-001 and INV-QA-002</t>
  </si>
  <si>
    <t>1. Sign in to Sage Intacct.
2. Go to Applications &gt; Accounts Receivable &gt; Receive payment.
3. Prepare the test data: Post one payment to both invoices.
4. Open each loan transaction history.
5. Save or confirm when needed.
6. Check the page and related records.</t>
  </si>
  <si>
    <t>Each loan shows the correct payment amount and reference.</t>
  </si>
  <si>
    <t>Local baseline expects a loan-side transaction for each invoice.</t>
  </si>
  <si>
    <t>SNL-ARP-011</t>
  </si>
  <si>
    <t>Update invoice and loan balances after payment</t>
  </si>
  <si>
    <t>Invoice: INV-QA-002; Payment: 75.00</t>
  </si>
  <si>
    <t>1. Sign in to Sage Intacct.
2. Go to Applications &gt; Accounts Receivable &gt; Receive payment.
3. Prepare the test data: Post a partial payment.
4. Open the invoice and loan account.
5. Save or confirm when needed.
6. Check the page and related records.</t>
  </si>
  <si>
    <t>The invoice balance and loan balance show the same applied amount.</t>
  </si>
  <si>
    <t>REVERSAL  (8 test cases)</t>
  </si>
  <si>
    <t>SNL-ARP-012</t>
  </si>
  <si>
    <t>Show Reverse for a posted AR payment</t>
  </si>
  <si>
    <t>Payment: PMT-QA-001; Status: Posted</t>
  </si>
  <si>
    <t>1. Sign in to Sage Intacct.
2. Go to Applications &gt; Accounts Receivable &gt; Receive payment.
3. Prepare the test data: Open the posted payment.
4. Review the available actions.
5. Save or confirm when needed.
6. Check the page and related records.</t>
  </si>
  <si>
    <t>Reverse is visible for an eligible payment.</t>
  </si>
  <si>
    <t>SNL-ARP-013</t>
  </si>
  <si>
    <t>Show a confirmation before reversal</t>
  </si>
  <si>
    <t>Payment: PMT-QA-001</t>
  </si>
  <si>
    <t>1. Sign in to Sage Intacct.
2. Go to Applications &gt; Accounts Receivable &gt; Receive payment.
3. Prepare the test data: Open the posted payment.
4. Click Reverse.
5. Save or confirm when needed.
6. Check the page and related records.</t>
  </si>
  <si>
    <t>A confirmation message identifies the payment and amount.</t>
  </si>
  <si>
    <t>SNL-ARP-014</t>
  </si>
  <si>
    <t>Reverse a full payment on one invoice</t>
  </si>
  <si>
    <t>Payment: PMT-QA-001; Invoice: INV-QA-001; Amount: 100.00</t>
  </si>
  <si>
    <t>1. Sign in to Sage Intacct.
2. Go to Applications &gt; Accounts Receivable &gt; Receive payment.
3. Prepare the test data: Use a fully paid invoice.
4. Confirm the reversal.
5. Save or confirm when needed.
6. Check the page and related records.</t>
  </si>
  <si>
    <t>The payment is reversed and the invoice reopens for 100.00.</t>
  </si>
  <si>
    <t>SNL-ARP-015</t>
  </si>
  <si>
    <t>Reverse one payment applied to two invoices</t>
  </si>
  <si>
    <t>Payment: PMT-QA-002; Invoice 1: 100.00; Invoice 2: 150.00</t>
  </si>
  <si>
    <t>1. Sign in to Sage Intacct.
2. Go to Applications &gt; Accounts Receivable &gt; Receive payment.
3. Prepare the test data: Use one payment applied to two invoices.
4. Confirm the reversal.
5. Save or confirm when needed.
6. Check the page and related records.</t>
  </si>
  <si>
    <t>Both invoice applications reverse in one action.</t>
  </si>
  <si>
    <t>SNL-ARP-016</t>
  </si>
  <si>
    <t>Mark every loan-side payment entry as reversed</t>
  </si>
  <si>
    <t>Payment: PMT-QA-002; Two loan accounts</t>
  </si>
  <si>
    <t>1. Sign in to Sage Intacct.
2. Go to Applications &gt; Accounts Receivable &gt; Receive payment.
3. Prepare the test data: Reverse the multi-invoice payment.
4. Open both loan transaction histories.
5. Save or confirm when needed.
6. Check the page and related records.</t>
  </si>
  <si>
    <t>Both original loan payment entries show Reversed.</t>
  </si>
  <si>
    <t>SNL-ARP-017</t>
  </si>
  <si>
    <t>Create an equal reversing transaction</t>
  </si>
  <si>
    <t>Original payment: 250.00</t>
  </si>
  <si>
    <t>1. Sign in to Sage Intacct.
2. Go to Applications &gt; Accounts Receivable &gt; Receive payment.
3. Prepare the test data: Reverse PMT-QA-002.
4. Review the related transactions.
5. Save or confirm when needed.
6. Check the page and related records.</t>
  </si>
  <si>
    <t>The reversal offsets exactly 250.00 and links to the original payment.</t>
  </si>
  <si>
    <t>SNL-ARP-018</t>
  </si>
  <si>
    <t>Allow a reopened invoice to be paid again</t>
  </si>
  <si>
    <t>Reopened invoice: INV-QA-001; New payment: 100.00</t>
  </si>
  <si>
    <t>1. Sign in to Sage Intacct.
2. Go to Applications &gt; Accounts Receivable &gt; Receive payment.
3. Prepare the test data: Reverse the original payment.
4. Create and post a new payment.
5. Save or confirm when needed.
6. Check the page and related records.</t>
  </si>
  <si>
    <t>The new payment posts normally and closes the invoice again.</t>
  </si>
  <si>
    <t>SNL-ARP-019</t>
  </si>
  <si>
    <t>Block reversal when one related loan is closed</t>
  </si>
  <si>
    <t>Loan A: Open; Loan B: Closed; Payment: PMT-QA-002</t>
  </si>
  <si>
    <t>1. Sign in to Sage Intacct.
2. Go to Applications &gt; Accounts Receivable &gt; Receive payment.
3. Prepare the test data: Close one loan after the payment.
4. Try to reverse the payment.
5. Save or confirm when needed.
6. Check the page and related records.</t>
  </si>
  <si>
    <t>The whole reversal is blocked and no invoice is partly reopened.</t>
  </si>
  <si>
    <t>ACCOUNTING AND HISTORY  (1 test case)</t>
  </si>
  <si>
    <t>SNL-ARP-020</t>
  </si>
  <si>
    <t>Create balanced accounting entries for payment and reversal</t>
  </si>
  <si>
    <t>Payment: 250.00; Reversal: 250.00</t>
  </si>
  <si>
    <t>1. Sign in to Sage Intacct.
2. Go to Applications &gt; Accounts Receivable &gt; Receive payment.
3. Prepare the test data: Post and then reverse a payment.
4. Review the accounting entries.
5. Save or confirm when needed.
6. Check the page and related records.</t>
  </si>
  <si>
    <t>Each transaction is balanced and the reversal offsets the payment.</t>
  </si>
  <si>
    <t>Navigation: Applications &gt; Accounts Receivable &gt; Invoices / Lending Management &gt; Related invoices | Client baseline | 22 test cases | Updated 2026-08-28</t>
  </si>
  <si>
    <t>INVOICE LIST  (7 test cases)</t>
  </si>
  <si>
    <t>SNL-INV-001</t>
  </si>
  <si>
    <t>Open the loan invoice list</t>
  </si>
  <si>
    <t>Entity: LME QA</t>
  </si>
  <si>
    <t>1. Sign in to Sage Intacct.
2. Go to Applications &gt; Accounts Receivable &gt; Invoices / Lending Management &gt; Related invoices.
3. Prepare the test data: Use an entity with loan invoices.
4. Open the invoice list.
5. Save or confirm when needed.
6. Check the page and related records.</t>
  </si>
  <si>
    <t>The invoice list loads without an error.</t>
  </si>
  <si>
    <t>Loan invoice UI requirement; Jira reference TBD</t>
  </si>
  <si>
    <t>SNL-INV-002</t>
  </si>
  <si>
    <t>Show the main invoice columns</t>
  </si>
  <si>
    <t>Invoice: INV-UI-001</t>
  </si>
  <si>
    <t>1. Sign in to Sage Intacct.
2. Go to Applications &gt; Accounts Receivable &gt; Invoices / Lending Management &gt; Related invoices.
3. Prepare the test data: Open the invoice list.
4. Review the column names.
5. Save or confirm when needed.
6. Check the page and related records.</t>
  </si>
  <si>
    <t>The list shows invoice number, customer, loan, dates, status, total, paid, and balance.</t>
  </si>
  <si>
    <t>SNL-INV-003</t>
  </si>
  <si>
    <t>Search by invoice number</t>
  </si>
  <si>
    <t>Search: INV-UI-001</t>
  </si>
  <si>
    <t>1. Sign in to Sage Intacct.
2. Go to Applications &gt; Accounts Receivable &gt; Invoices / Lending Management &gt; Related invoices.
3. Prepare the test data: Open the invoice list.
4. Search for INV-UI-001.
5. Save or confirm when needed.
6. Check the page and related records.</t>
  </si>
  <si>
    <t>Only matching invoices are shown.</t>
  </si>
  <si>
    <t>SNL-INV-004</t>
  </si>
  <si>
    <t>Filter invoices by status</t>
  </si>
  <si>
    <t>Status: Open</t>
  </si>
  <si>
    <t>1. Sign in to Sage Intacct.
2. Go to Applications &gt; Accounts Receivable &gt; Invoices / Lending Management &gt; Related invoices.
3. Prepare the test data: Open the invoice list.
4. Apply the Open status filter.
5. Save or confirm when needed.
6. Check the page and related records.</t>
  </si>
  <si>
    <t>Only open invoices are shown.</t>
  </si>
  <si>
    <t>SNL-INV-005</t>
  </si>
  <si>
    <t>Filter invoices by customer</t>
  </si>
  <si>
    <t>Customer: CUST-QA-INV-001</t>
  </si>
  <si>
    <t>1. Sign in to Sage Intacct.
2. Go to Applications &gt; Accounts Receivable &gt; Invoices / Lending Management &gt; Related invoices.
3. Prepare the test data: Open the invoice list.
4. Apply the customer filter.
5. Save or confirm when needed.
6. Check the page and related records.</t>
  </si>
  <si>
    <t>Only invoices for the selected customer are shown.</t>
  </si>
  <si>
    <t>SNL-INV-006</t>
  </si>
  <si>
    <t>Sort invoice dates and amounts</t>
  </si>
  <si>
    <t>Invoices with different dates and totals</t>
  </si>
  <si>
    <t>1. Sign in to Sage Intacct.
2. Go to Applications &gt; Accounts Receivable &gt; Invoices / Lending Management &gt; Related invoices.
3. Prepare the test data: Open the invoice list.
4. Sort Date and then Total in both directions.
5. Save or confirm when needed.
6. Check the page and related records.</t>
  </si>
  <si>
    <t>Rows follow the selected sort order.</t>
  </si>
  <si>
    <t>SNL-INV-007</t>
  </si>
  <si>
    <t>Keep selected columns after leaving the page</t>
  </si>
  <si>
    <t>Add column: Loan account</t>
  </si>
  <si>
    <t>1. Sign in to Sage Intacct.
2. Go to Applications &gt; Accounts Receivable &gt; Invoices / Lending Management &gt; Related invoices.
3. Prepare the test data: Open Configure columns.
4. Add the column, leave the page, and return.
5. Save or confirm when needed.
6. Check the page and related records.</t>
  </si>
  <si>
    <t>The selected column is still visible.</t>
  </si>
  <si>
    <t>INVOICE VIEW  (8 test cases)</t>
  </si>
  <si>
    <t>SNL-INV-008</t>
  </si>
  <si>
    <t>Open an invoice from the list</t>
  </si>
  <si>
    <t>1. Sign in to Sage Intacct.
2. Go to Applications &gt; Accounts Receivable &gt; Invoices / Lending Management &gt; Related invoices.
3. Prepare the test data: Find the invoice in the list.
4. Click the invoice number.
5. Save or confirm when needed.
6. Check the page and related records.</t>
  </si>
  <si>
    <t>The correct invoice View page opens.</t>
  </si>
  <si>
    <t>SNL-INV-009</t>
  </si>
  <si>
    <t>Show a clear invoice page title and status</t>
  </si>
  <si>
    <t>Invoice: INV-UI-001; Status: Open</t>
  </si>
  <si>
    <t>1. Sign in to Sage Intacct.
2. Go to Applications &gt; Accounts Receivable &gt; Invoices / Lending Management &gt; Related invoices.
3. Prepare the test data: Open the invoice.
4. Read the page header.
5. Save or confirm when needed.
6. Check the page and related records.</t>
  </si>
  <si>
    <t>The invoice number and current status are clear.</t>
  </si>
  <si>
    <t>SNL-INV-010</t>
  </si>
  <si>
    <t>Show customer and loan links</t>
  </si>
  <si>
    <t>Customer: CUST-QA-INV-001; Loan: LOAN-QA-INV-001</t>
  </si>
  <si>
    <t>1. Sign in to Sage Intacct.
2. Go to Applications &gt; Accounts Receivable &gt; Invoices / Lending Management &gt; Related invoices.
3. Prepare the test data: Open the invoice.
4. Review the Customer and Loan fields.
5. Save or confirm when needed.
6. Check the page and related records.</t>
  </si>
  <si>
    <t>Both values are correct and open the related records.</t>
  </si>
  <si>
    <t>SNL-INV-011</t>
  </si>
  <si>
    <t>Show invoice date, due date, and payment terms</t>
  </si>
  <si>
    <t>Invoice date: 08/01/2026; Due date: 08/31/2026; Terms: Net 30</t>
  </si>
  <si>
    <t>1. Sign in to Sage Intacct.
2. Go to Applications &gt; Accounts Receivable &gt; Invoices / Lending Management &gt; Related invoices.
3. Prepare the test data: Open the invoice.
4. Review the date and terms fields.
5. Save or confirm when needed.
6. Check the page and related records.</t>
  </si>
  <si>
    <t>All values match the saved invoice.</t>
  </si>
  <si>
    <t>SNL-INV-012</t>
  </si>
  <si>
    <t>Show principal, interest, and fee lines</t>
  </si>
  <si>
    <t>Principal: 800.00; Interest: 150.00; Fee: 50.00</t>
  </si>
  <si>
    <t>1. Sign in to Sage Intacct.
2. Go to Applications &gt; Accounts Receivable &gt; Invoices / Lending Management &gt; Related invoices.
3. Prepare the test data: Open an invoice with all line types.
4. Review the line grid.
5. Save or confirm when needed.
6. Check the page and related records.</t>
  </si>
  <si>
    <t>Each line type and amount is correct.</t>
  </si>
  <si>
    <t>SNL-INV-013</t>
  </si>
  <si>
    <t>Show correct invoice totals</t>
  </si>
  <si>
    <t>Subtotal: 1000.00; Paid: 250.00; Balance: 750.00</t>
  </si>
  <si>
    <t>1. Sign in to Sage Intacct.
2. Go to Applications &gt; Accounts Receivable &gt; Invoices / Lending Management &gt; Related invoices.
3. Prepare the test data: Open a partly paid invoice.
4. Review the totals.
5. Save or confirm when needed.
6. Check the page and related records.</t>
  </si>
  <si>
    <t>Subtotal minus paid equals the remaining balance.</t>
  </si>
  <si>
    <t>SNL-INV-014</t>
  </si>
  <si>
    <t>Format dates and currency clearly</t>
  </si>
  <si>
    <t>Date: 08/31/2026; Amount: 1234.50; Currency: USD</t>
  </si>
  <si>
    <t>1. Sign in to Sage Intacct.
2. Go to Applications &gt; Accounts Receivable &gt; Invoices / Lending Management &gt; Related invoices.
3. Prepare the test data: Open the invoice.
4. Review dates and money values.
5. Save or confirm when needed.
6. Check the page and related records.</t>
  </si>
  <si>
    <t>Dates and currency use the company format and show two decimals.</t>
  </si>
  <si>
    <t>SNL-INV-015</t>
  </si>
  <si>
    <t>Show long descriptions without clipping</t>
  </si>
  <si>
    <t>Line description: 250 characters</t>
  </si>
  <si>
    <t>1. Sign in to Sage Intacct.
2. Go to Applications &gt; Accounts Receivable &gt; Invoices / Lending Management &gt; Related invoices.
3. Prepare the test data: Use an invoice with a long line description.
4. Open the invoice.
5. Save or confirm when needed.
6. Check the page and related records.</t>
  </si>
  <si>
    <t>The full description can be read.</t>
  </si>
  <si>
    <t>PAYMENT STATUS  (4 test cases)</t>
  </si>
  <si>
    <t>SNL-INV-016</t>
  </si>
  <si>
    <t>Show Open before any payment</t>
  </si>
  <si>
    <t>Invoice: INV-UI-OPEN; Balance: 100.00</t>
  </si>
  <si>
    <t>1. Sign in to Sage Intacct.
2. Go to Applications &gt; Accounts Receivable &gt; Invoices / Lending Management &gt; Related invoices.
3. Prepare the test data: Open an unpaid invoice.
4. Review its status and balance.
5. Save or confirm when needed.
6. Check the page and related records.</t>
  </si>
  <si>
    <t>Status is Open and balance is 100.00.</t>
  </si>
  <si>
    <t>SNL-INV-017</t>
  </si>
  <si>
    <t>Show Partially paid after a partial payment</t>
  </si>
  <si>
    <t>Invoice: INV-UI-PART; Total: 200.00; Paid: 75.00</t>
  </si>
  <si>
    <t>1. Sign in to Sage Intacct.
2. Go to Applications &gt; Accounts Receivable &gt; Invoices / Lending Management &gt; Related invoices.
3. Prepare the test data: Post a 75.00 payment.
4. Open the invoice.
5. Save or confirm when needed.
6. Check the page and related records.</t>
  </si>
  <si>
    <t>Status and remaining balance show the partial payment correctly.</t>
  </si>
  <si>
    <t>SNL-INV-018</t>
  </si>
  <si>
    <t>Show Paid after a full payment</t>
  </si>
  <si>
    <t>Invoice: INV-UI-PAID; Total: 100.00; Paid: 100.00</t>
  </si>
  <si>
    <t>1. Sign in to Sage Intacct.
2. Go to Applications &gt; Accounts Receivable &gt; Invoices / Lending Management &gt; Related invoices.
3. Prepare the test data: Post the full payment.
4. Open the invoice.
5. Save or confirm when needed.
6. Check the page and related records.</t>
  </si>
  <si>
    <t>Status is Paid and balance is 0.00.</t>
  </si>
  <si>
    <t>SNL-INV-019</t>
  </si>
  <si>
    <t>Reopen the invoice after payment reversal</t>
  </si>
  <si>
    <t>Invoice: INV-UI-REV; Reversed payment: 100.00</t>
  </si>
  <si>
    <t>1. Sign in to Sage Intacct.
2. Go to Applications &gt; Accounts Receivable &gt; Invoices / Lending Management &gt; Related invoices.
3. Prepare the test data: Pay the invoice and reverse the payment.
4. Open the invoice.
5. Save or confirm when needed.
6. Check the page and related records.</t>
  </si>
  <si>
    <t>Status is Open again and the balance is restored.</t>
  </si>
  <si>
    <t>RELATED FEATURES  (2 test cases)</t>
  </si>
  <si>
    <t>SNL-INV-020</t>
  </si>
  <si>
    <t>Show the invoice in the Lending workbench</t>
  </si>
  <si>
    <t>Loan: LOAN-QA-INV-001; Invoice: INV-UI-001</t>
  </si>
  <si>
    <t>1. Sign in to Sage Intacct.
2. Go to Applications &gt; Accounts Receivable &gt; Invoices / Lending Management &gt; Related invoices.
3. Prepare the test data: Generate an invoice for the loan.
4. Open and filter the Lending workbench.
5. Save or confirm when needed.
6. Check the page and related records.</t>
  </si>
  <si>
    <t>The row shows the latest invoice and invoice state.</t>
  </si>
  <si>
    <t>Local end-to-end tests check invoice data in the workbench.</t>
  </si>
  <si>
    <t>SNL-INV-021</t>
  </si>
  <si>
    <t>Open the invoice audit trail</t>
  </si>
  <si>
    <t>1. Sign in to Sage Intacct.
2. Go to Applications &gt; Accounts Receivable &gt; Invoices / Lending Management &gt; Related invoices.
3. Prepare the test data: Open an invoice View page.
4. Open More actions and click View audit trail.
5. Save or confirm when needed.
6. Check the page and related records.</t>
  </si>
  <si>
    <t>The audit page opens for the invoice.</t>
  </si>
  <si>
    <t>SECURITY  (1 test case)</t>
  </si>
  <si>
    <t>SNL-INV-022</t>
  </si>
  <si>
    <t>Hide invoice data from a user without access</t>
  </si>
  <si>
    <t>User: QA-INVOICE-BLOCKED</t>
  </si>
  <si>
    <t>1. Sign in to Sage Intacct.
2. Go to Applications &gt; Accounts Receivable &gt; Invoices / Lending Management &gt; Related invoices.
3. Prepare the test data: Remove invoice access from the user.
4. Try to open the invoice list and direct invoice link.
5. Save or confirm when needed.
6. Check the page and related records.</t>
  </si>
  <si>
    <t>Invoice data is hidden or access is denied clearly.</t>
  </si>
  <si>
    <t>Navigation: Applications &gt; Lending Management &gt; Workbench / Statements | Client baseline | 22 test cases | Updated 2026-08-28</t>
  </si>
  <si>
    <t>STANDARD SETUP  (5 test cases)</t>
  </si>
  <si>
    <t>SNL-STD-001</t>
  </si>
  <si>
    <t>Allow Standard automation on a loan type</t>
  </si>
  <si>
    <t>Loan type: LT-STD-001; Automation: Standard</t>
  </si>
  <si>
    <t>1. Sign in to Sage Intacct.
2. Go to Applications &gt; Lending Management &gt; Workbench / Statements.
3. Prepare the test data: Create or edit a loan type.
4. Select Standard automation and save.
5. Save or confirm when needed.
6. Check the page and related records.</t>
  </si>
  <si>
    <t>The loan type saves with Standard automation.</t>
  </si>
  <si>
    <t>PR #1457 sections 9.1 and 9.5 Standard automation; Jira reference TBD</t>
  </si>
  <si>
    <t>SNL-STD-002</t>
  </si>
  <si>
    <t>Allow Statement presentment for Standard automation</t>
  </si>
  <si>
    <t>Presentment: Statement; Statement repeats: Monthly</t>
  </si>
  <si>
    <t>1. Sign in to Sage Intacct.
2. Go to Applications &gt; Lending Management &gt; Workbench / Statements.
3. Prepare the test data: Use a Standard loan type.
4. Select Statement and save.
5. Save or confirm when needed.
6. Check the page and related records.</t>
  </si>
  <si>
    <t>The setup saves and no invoice recurrence is required.</t>
  </si>
  <si>
    <t>SNL-STD-003</t>
  </si>
  <si>
    <t>Allow Invoice and Statement presentment</t>
  </si>
  <si>
    <t>Presentment: Invoice &amp; Statements; Invoice repeats: Monthly; Statement repeats: Quarterly</t>
  </si>
  <si>
    <t>1. Sign in to Sage Intacct.
2. Go to Applications &gt; Lending Management &gt; Workbench / Statements.
3. Prepare the test data: Use a Standard loan type.
4. Select both presentment options and save.
5. Save or confirm when needed.
6. Check the page and related records.</t>
  </si>
  <si>
    <t>The setup saves with both recurrence values.</t>
  </si>
  <si>
    <t>SNL-STD-004</t>
  </si>
  <si>
    <t>Block Statement presentment with annual statement cadence</t>
  </si>
  <si>
    <t>Presentment: Statement; Statement repeats: Annually</t>
  </si>
  <si>
    <t>1. Sign in to Sage Intacct.
2. Go to Applications &gt; Lending Management &gt; Workbench / Statements.
3. Prepare the test data: Use a Standard loan type.
4. Try to save the annual cadence.
5. Save or confirm when needed.
6. Check the page and related records.</t>
  </si>
  <si>
    <t>Save is blocked with a clear validation message.</t>
  </si>
  <si>
    <t>SNL-STD-005</t>
  </si>
  <si>
    <t>Require valid first statement and invoice dates</t>
  </si>
  <si>
    <t>Origination: 08/01/2026; First invoice: 08/31/2026; First statement: 09/15/2026</t>
  </si>
  <si>
    <t>1. Sign in to Sage Intacct.
2. Go to Applications &gt; Lending Management &gt; Workbench / Statements.
3. Prepare the test data: Create a Standard loan account.
4. Enter the dates and save.
5. Save or confirm when needed.
6. Check the page and related records.</t>
  </si>
  <si>
    <t>The dates save because they are after origination.</t>
  </si>
  <si>
    <t>GENERATION  (9 test cases)</t>
  </si>
  <si>
    <t>SNL-STD-006</t>
  </si>
  <si>
    <t>Generate a monthly Standard statement</t>
  </si>
  <si>
    <t>Loan: LOAN-STD-001; First statement: 09/15/2026; Repeats: Monthly</t>
  </si>
  <si>
    <t>1. Sign in to Sage Intacct.
2. Go to Applications &gt; Lending Management &gt; Workbench / Statements.
3. Prepare the test data: Use an eligible open Standard loan.
4. Run the due Standard statement process.
5. Save or confirm when needed.
6. Check the page and related records.</t>
  </si>
  <si>
    <t>One statement is created for the correct period.</t>
  </si>
  <si>
    <t>Local automation confirms the loanStatement process creates a statement row.</t>
  </si>
  <si>
    <t>SNL-STD-007</t>
  </si>
  <si>
    <t>Generate a quarterly Standard statement</t>
  </si>
  <si>
    <t>Loan: LOAN-STD-002; First statement: 09/30/2026; Repeats: Quarterly</t>
  </si>
  <si>
    <t>One statement is created and the next date moves three months.</t>
  </si>
  <si>
    <t>SNL-STD-008</t>
  </si>
  <si>
    <t>Generate statements for revolving and non-revolving loans</t>
  </si>
  <si>
    <t>Loans: LOAN-STD-REV and LOAN-STD-NONREV</t>
  </si>
  <si>
    <t>1. Sign in to Sage Intacct.
2. Go to Applications &gt; Lending Management &gt; Workbench / Statements.
3. Prepare the test data: Make both loans due for a statement.
4. Run the Standard statement process.
5. Save or confirm when needed.
6. Check the page and related records.</t>
  </si>
  <si>
    <t>Each eligible loan gets the correct statement.</t>
  </si>
  <si>
    <t>SNL-STD-009</t>
  </si>
  <si>
    <t>Process the statement before the invoice when both dates match</t>
  </si>
  <si>
    <t>Next invoice: 09/30/2026; Next statement: 09/30/2026</t>
  </si>
  <si>
    <t>1. Sign in to Sage Intacct.
2. Go to Applications &gt; Lending Management &gt; Workbench / Statements.
3. Prepare the test data: Use Invoice &amp; Statements presentment.
4. Run the Standard process on the tie date.
5. Save or confirm when needed.
6. Check the page and related records.</t>
  </si>
  <si>
    <t>The statement step runs first, then the invoice step runs.</t>
  </si>
  <si>
    <t>SNL-STD-010</t>
  </si>
  <si>
    <t>Do not create an AR invoice for Statement-only presentment</t>
  </si>
  <si>
    <t>Presentment: Statement; Loan: LOAN-STD-003</t>
  </si>
  <si>
    <t>1. Sign in to Sage Intacct.
2. Go to Applications &gt; Lending Management &gt; Workbench / Statements.
3. Prepare the test data: Make the loan due for a statement.
4. Run the Standard process.
5. Save or confirm when needed.
6. Check the page and related records.</t>
  </si>
  <si>
    <t>A statement is created and no AR invoice is created.</t>
  </si>
  <si>
    <t>SNL-STD-011</t>
  </si>
  <si>
    <t>Create both artifacts for Invoice and Statements presentment</t>
  </si>
  <si>
    <t>Presentment: Invoice &amp; Statements; Loan: LOAN-STD-004</t>
  </si>
  <si>
    <t>1. Sign in to Sage Intacct.
2. Go to Applications &gt; Lending Management &gt; Workbench / Statements.
3. Prepare the test data: Make the loan due for both artifacts.
4. Run the Standard process.
5. Save or confirm when needed.
6. Check the page and related records.</t>
  </si>
  <si>
    <t>The statement and AR invoice are both created.</t>
  </si>
  <si>
    <t>SNL-STD-012</t>
  </si>
  <si>
    <t>Show the generated statement in the Statements list</t>
  </si>
  <si>
    <t>Loan: LOAN-STD-001</t>
  </si>
  <si>
    <t>1. Sign in to Sage Intacct.
2. Go to Applications &gt; Lending Management &gt; Workbench / Statements.
3. Prepare the test data: Generate a Standard statement.
4. Open the Statements list and search for the loan.
5. Save or confirm when needed.
6. Check the page and related records.</t>
  </si>
  <si>
    <t>The new statement is shown with Active status.</t>
  </si>
  <si>
    <t>SNL-STD-013</t>
  </si>
  <si>
    <t>Open the generated statement PDF</t>
  </si>
  <si>
    <t>Statement: STMT-STD-001; Status: Completed</t>
  </si>
  <si>
    <t>1. Sign in to Sage Intacct.
2. Go to Applications &gt; Lending Management &gt; Workbench / Statements.
3. Prepare the test data: Generate a completed Standard statement.
4. Click the Statement PDF link.
5. Save or confirm when needed.
6. Check the page and related records.</t>
  </si>
  <si>
    <t>The PDF opens and belongs to the correct loan and period.</t>
  </si>
  <si>
    <t>SNL-STD-014</t>
  </si>
  <si>
    <t>Carry the closing balance to the next statement</t>
  </si>
  <si>
    <t>Period 1 ending: 950.00; Period 2 beginning: 950.00</t>
  </si>
  <si>
    <t>1. Sign in to Sage Intacct.
2. Go to Applications &gt; Lending Management &gt; Workbench / Statements.
3. Prepare the test data: Generate two statement periods in order.
4. Open both statements.
5. Save or confirm when needed.
6. Check the page and related records.</t>
  </si>
  <si>
    <t>Period 2 begins with the Period 1 ending balance.</t>
  </si>
  <si>
    <t>Local multi-period automation checks balance carry-forward.</t>
  </si>
  <si>
    <t>REVERSAL  (6 test cases)</t>
  </si>
  <si>
    <t>SNL-STD-015</t>
  </si>
  <si>
    <t>Show Reverse for an eligible Standard statement</t>
  </si>
  <si>
    <t>Statement: STMT-STD-001; Status: Active</t>
  </si>
  <si>
    <t>1. Sign in to Sage Intacct.
2. Go to Applications &gt; Lending Management &gt; Workbench / Statements.
3. Prepare the test data: Open the related workbench row.
4. Select the row and review actions.
5. Save or confirm when needed.
6. Check the page and related records.</t>
  </si>
  <si>
    <t>Reverse is enabled for the eligible statement.</t>
  </si>
  <si>
    <t>SNL-STD-016</t>
  </si>
  <si>
    <t>Reverse a Standard statement</t>
  </si>
  <si>
    <t>Statement: STMT-STD-001</t>
  </si>
  <si>
    <t>1. Sign in to Sage Intacct.
2. Go to Applications &gt; Lending Management &gt; Workbench / Statements.
3. Prepare the test data: Use a statement with no later blocking record.
4. Click Reverse and confirm.
5. Save or confirm when needed.
6. Check the page and related records.</t>
  </si>
  <si>
    <t>The statement changes to Reversed.</t>
  </si>
  <si>
    <t>SNL-STD-017</t>
  </si>
  <si>
    <t>Show the reversed status in the Statements list</t>
  </si>
  <si>
    <t>1. Sign in to Sage Intacct.
2. Go to Applications &gt; Lending Management &gt; Workbench / Statements.
3. Prepare the test data: Reverse the statement.
4. Open the Statements list.
5. Save or confirm when needed.
6. Check the page and related records.</t>
  </si>
  <si>
    <t>The same statement is shown with Reversed status.</t>
  </si>
  <si>
    <t>SNL-STD-018</t>
  </si>
  <si>
    <t>Block reversal when a later invoice exists</t>
  </si>
  <si>
    <t>Statement date: 09/30/2026; Later invoice: 10/15/2026</t>
  </si>
  <si>
    <t>1. Sign in to Sage Intacct.
2. Go to Applications &gt; Lending Management &gt; Workbench / Statements.
3. Prepare the test data: Create a later invoice for the same loan.
4. Try to reverse the earlier statement.
5. Save or confirm when needed.
6. Check the page and related records.</t>
  </si>
  <si>
    <t>Reversal is blocked and the reason is clear.</t>
  </si>
  <si>
    <t>PR reference includes SNL-2034 and SNL-2035.</t>
  </si>
  <si>
    <t>SNL-STD-019</t>
  </si>
  <si>
    <t>Block reversal when a later completed statement exists</t>
  </si>
  <si>
    <t>Earlier statement: 09/30/2026; Later statement: 10/31/2026</t>
  </si>
  <si>
    <t>1. Sign in to Sage Intacct.
2. Go to Applications &gt; Lending Management &gt; Workbench / Statements.
3. Prepare the test data: Complete the later statement.
4. Try to reverse the earlier statement.
5. Save or confirm when needed.
6. Check the page and related records.</t>
  </si>
  <si>
    <t>Reversal is blocked and no statement data changes.</t>
  </si>
  <si>
    <t>SNL-STD-020</t>
  </si>
  <si>
    <t>Block a second reversal of the same statement</t>
  </si>
  <si>
    <t>Statement: STMT-STD-001; Status: Reversed</t>
  </si>
  <si>
    <t>1. Sign in to Sage Intacct.
2. Go to Applications &gt; Lending Management &gt; Workbench / Statements.
3. Prepare the test data: Reverse the statement once.
4. Try to reverse it again.
5. Save or confirm when needed.
6. Check the page and related records.</t>
  </si>
  <si>
    <t>The second reversal is blocked.</t>
  </si>
  <si>
    <t>HISTORY AND SECURITY  (2 test cases)</t>
  </si>
  <si>
    <t>SNL-STD-021</t>
  </si>
  <si>
    <t>Record generation and reversal in history</t>
  </si>
  <si>
    <t>1. Sign in to Sage Intacct.
2. Go to Applications &gt; Lending Management &gt; Workbench / Statements.
3. Prepare the test data: Generate and then reverse the statement.
4. Open the audit trail or run history.
5. Save or confirm when needed.
6. Check the page and related records.</t>
  </si>
  <si>
    <t>Both actions show the correct user, time, and status.</t>
  </si>
  <si>
    <t>SNL-STD-022</t>
  </si>
  <si>
    <t>Block statement actions for a user without permission</t>
  </si>
  <si>
    <t>User: QA-STD-BLOCKED</t>
  </si>
  <si>
    <t>1. Sign in to Sage Intacct.
2. Go to Applications &gt; Lending Management &gt; Workbench / Statements.
3. Prepare the test data: Remove statement process permission.
4. Try to generate or reverse a statement.
5. Save or confirm when needed.
6. Check the page and related records.</t>
  </si>
  <si>
    <t>The actions are hidden or access is denied clearly.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</si>
</sst>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4"/>
      <color rgb="FFFFFFFF"/>
      <name val="Calibri"/>
    </font>
    <font>
      <b/>
      <sz val="11"/>
      <color rgb="FF1F4E78"/>
      <name val="Calibri"/>
    </font>
    <font>
      <i/>
      <sz val="11"/>
      <color rgb="FF1F4E78"/>
      <name val="Calibri"/>
    </font>
    <font>
      <b/>
      <sz val="11"/>
      <color rgb="FFFFFFFF"/>
      <name val="Calibri"/>
    </font>
    <font>
      <sz val="10"/>
      <color rgb="FF1F1F1F"/>
      <name val="Calibri"/>
    </font>
    <font>
      <b/>
      <sz val="10"/>
      <color rgb="FFFFFFFF"/>
      <name val="Calibri"/>
    </font>
  </fonts>
  <fills count="11">
    <fill>
      <patternFill patternType="none"/>
    </fill>
    <fill>
      <patternFill patternType="gray125"/>
    </fill>
    <fill>
      <patternFill patternType="solid">
        <fgColor rgb="FF1F4E78"/>
      </patternFill>
    </fill>
    <fill>
      <patternFill patternType="solid">
        <fgColor rgb="FFD9EAF7"/>
      </patternFill>
    </fill>
    <fill>
      <patternFill patternType="solid">
        <fgColor rgb="FFF2F6FB"/>
      </patternFill>
    </fill>
    <fill>
      <patternFill patternType="solid">
        <fgColor rgb="FF2E7D32"/>
      </patternFill>
    </fill>
    <fill>
      <patternFill patternType="solid">
        <fgColor rgb="FFFFFFFF"/>
      </patternFill>
    </fill>
    <fill>
      <patternFill patternType="solid">
        <fgColor rgb="FFFFF2CC"/>
      </patternFill>
    </fill>
    <fill>
      <patternFill patternType="solid">
        <fgColor rgb="FF4472C4"/>
      </patternFill>
    </fill>
    <fill>
      <patternFill patternType="solid">
        <fgColor rgb="FFB8860B"/>
      </patternFill>
    </fill>
    <fill>
      <patternFill patternType="solid">
        <fgColor rgb="FFB71C1C"/>
      </patternFill>
    </fill>
  </fills>
  <borders count="2">
    <border>
      <left/>
      <right/>
      <top/>
      <bottom/>
      <diagonal/>
    </border>
    <border>
      <left style="thin">
        <color rgb="FFB7C9D6"/>
      </left>
      <right style="thin">
        <color rgb="FFB7C9D6"/>
      </right>
      <top style="thin">
        <color rgb="FFB7C9D6"/>
      </top>
      <bottom style="thin">
        <color rgb="FFB7C9D6"/>
      </bottom>
      <diagonal/>
    </border>
  </borders>
  <cellStyleXfs count="1">
    <xf numFmtId="0" fontId="0" fillId="0" borderId="0"/>
  </cellStyleXfs>
  <cellXfs count="21">
    <xf numFmtId="0" fontId="0" fillId="0" borderId="0" xfId="0"/>
    <xf numFmtId="0" fontId="4" fillId="2" borderId="1" xfId="0" applyFont="1" applyFill="1" applyBorder="1" applyAlignment="1">
      <alignment horizontal="center" vertical="center" wrapText="1"/>
    </xf>
    <xf numFmtId="0" fontId="0" fillId="0" borderId="1" xfId="0" applyBorder="1" applyAlignment="1">
      <alignment vertical="center" wrapText="1"/>
    </xf>
    <xf numFmtId="0" fontId="0" fillId="0" borderId="1" xfId="0" applyBorder="1" applyAlignment="1">
      <alignment horizontal="center" vertical="center"/>
    </xf>
    <xf numFmtId="0" fontId="4" fillId="2" borderId="1" xfId="0" applyFont="1" applyFill="1" applyBorder="1" applyAlignment="1">
      <alignment horizontal="center" vertical="center"/>
    </xf>
    <xf numFmtId="0" fontId="6" fillId="5" borderId="1" xfId="0" applyFont="1" applyFill="1" applyBorder="1" applyAlignment="1">
      <alignment vertical="top" wrapText="1"/>
    </xf>
    <xf numFmtId="0" fontId="5" fillId="6" borderId="1" xfId="0" applyFont="1" applyFill="1" applyBorder="1" applyAlignment="1">
      <alignment vertical="top" wrapText="1"/>
    </xf>
    <xf numFmtId="0" fontId="5" fillId="4" borderId="1" xfId="0" applyFont="1" applyFill="1" applyBorder="1" applyAlignment="1">
      <alignment horizontal="center" vertical="top" wrapText="1"/>
    </xf>
    <xf numFmtId="0" fontId="5" fillId="7" borderId="1" xfId="0" applyFont="1" applyFill="1" applyBorder="1" applyAlignment="1">
      <alignment horizontal="center" vertical="top" wrapText="1"/>
    </xf>
    <xf numFmtId="0" fontId="0" fillId="0" borderId="0" xfId="0" applyAlignment="1">
      <alignment vertical="center" wrapText="1"/>
    </xf>
    <xf numFmtId="0" fontId="0" fillId="0" borderId="0" xfId="0"/>
    <xf numFmtId="0" fontId="0" fillId="4" borderId="0" xfId="0" applyFill="1" applyAlignment="1">
      <alignment vertical="center" wrapText="1"/>
    </xf>
    <xf numFmtId="0" fontId="2" fillId="3" borderId="0" xfId="0" applyFont="1" applyFill="1" applyAlignment="1">
      <alignment vertical="center" wrapText="1"/>
    </xf>
    <xf numFmtId="0" fontId="1" fillId="2" borderId="0" xfId="0" applyFont="1" applyFill="1" applyAlignment="1">
      <alignment horizontal="center" vertical="center"/>
    </xf>
    <xf numFmtId="0" fontId="2" fillId="3" borderId="0" xfId="0" applyFont="1" applyFill="1" applyAlignment="1">
      <alignment horizontal="center" vertical="center" wrapText="1"/>
    </xf>
    <xf numFmtId="0" fontId="3" fillId="0" borderId="0" xfId="0" applyFont="1" applyAlignment="1">
      <alignment vertical="center" wrapText="1"/>
    </xf>
    <xf numFmtId="0" fontId="4" fillId="5" borderId="0" xfId="0" applyFont="1" applyFill="1" applyAlignment="1">
      <alignment vertical="center"/>
    </xf>
    <xf numFmtId="0" fontId="4" fillId="8" borderId="0" xfId="0" applyFont="1" applyFill="1" applyAlignment="1">
      <alignment vertical="center"/>
    </xf>
    <xf numFmtId="0" fontId="4" fillId="10" borderId="0" xfId="0" applyFont="1" applyFill="1" applyAlignment="1">
      <alignment vertical="center"/>
    </xf>
    <xf numFmtId="0" fontId="4" fillId="9" borderId="0" xfId="0" applyFont="1" applyFill="1" applyAlignment="1">
      <alignment vertical="center"/>
    </xf>
    <xf numFmtId="0" fontId="4" fillId="2" borderId="0" xfId="0" applyFont="1" applyFill="1" applyAlignment="1">
      <alignment vertical="center"/>
    </xf>
  </cellXfs>
  <cellStyles count="1">
    <cellStyle name="Normal" xfId="0" builtinId="0"/>
  </cellStyles>
  <dxfs count="20">
    <dxf>
      <fill>
        <patternFill patternType="solid">
          <fgColor rgb="FFD9D9D9"/>
        </patternFill>
      </fill>
    </dxf>
    <dxf>
      <fill>
        <patternFill patternType="solid">
          <fgColor rgb="FFDDEBF7"/>
        </patternFill>
      </fill>
    </dxf>
    <dxf>
      <fill>
        <patternFill patternType="solid">
          <fgColor rgb="FFF4B183"/>
        </patternFill>
      </fill>
    </dxf>
    <dxf>
      <fill>
        <patternFill patternType="solid">
          <fgColor rgb="FFFFC7CE"/>
        </patternFill>
      </fill>
    </dxf>
    <dxf>
      <fill>
        <patternFill patternType="solid">
          <fgColor rgb="FFC6EFCE"/>
        </patternFill>
      </fill>
    </dxf>
    <dxf>
      <fill>
        <patternFill patternType="solid">
          <fgColor rgb="FFD9D9D9"/>
        </patternFill>
      </fill>
    </dxf>
    <dxf>
      <fill>
        <patternFill patternType="solid">
          <fgColor rgb="FFDDEBF7"/>
        </patternFill>
      </fill>
    </dxf>
    <dxf>
      <fill>
        <patternFill patternType="solid">
          <fgColor rgb="FFF4B183"/>
        </patternFill>
      </fill>
    </dxf>
    <dxf>
      <fill>
        <patternFill patternType="solid">
          <fgColor rgb="FFFFC7CE"/>
        </patternFill>
      </fill>
    </dxf>
    <dxf>
      <fill>
        <patternFill patternType="solid">
          <fgColor rgb="FFC6EFCE"/>
        </patternFill>
      </fill>
    </dxf>
    <dxf>
      <fill>
        <patternFill patternType="solid">
          <fgColor rgb="FFD9D9D9"/>
        </patternFill>
      </fill>
    </dxf>
    <dxf>
      <fill>
        <patternFill patternType="solid">
          <fgColor rgb="FFDDEBF7"/>
        </patternFill>
      </fill>
    </dxf>
    <dxf>
      <fill>
        <patternFill patternType="solid">
          <fgColor rgb="FFF4B183"/>
        </patternFill>
      </fill>
    </dxf>
    <dxf>
      <fill>
        <patternFill patternType="solid">
          <fgColor rgb="FFFFC7CE"/>
        </patternFill>
      </fill>
    </dxf>
    <dxf>
      <fill>
        <patternFill patternType="solid">
          <fgColor rgb="FFC6EFCE"/>
        </patternFill>
      </fill>
    </dxf>
    <dxf>
      <fill>
        <patternFill patternType="solid">
          <fgColor rgb="FFD9D9D9"/>
        </patternFill>
      </fill>
    </dxf>
    <dxf>
      <fill>
        <patternFill patternType="solid">
          <fgColor rgb="FFDDEBF7"/>
        </patternFill>
      </fill>
    </dxf>
    <dxf>
      <fill>
        <patternFill patternType="solid">
          <fgColor rgb="FFF4B183"/>
        </patternFill>
      </fill>
    </dxf>
    <dxf>
      <fill>
        <patternFill patternType="solid">
          <fgColor rgb="FFFFC7CE"/>
        </patternFill>
      </fill>
    </dxf>
    <dxf>
      <fill>
        <patternFill patternType="solid">
          <fgColor rgb="FFC6EF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6"/>
  <sheetViews>
    <sheetView showGridLines="0" workbookViewId="0">
      <pane ySplit="4" topLeftCell="A5" activePane="bottomLeft" state="frozen"/>
      <selection pane="bottomLeft" sqref="A1:H1"/>
    </sheetView>
  </sheetViews>
  <sheetFormatPr defaultRowHeight="15" x14ac:dyDescent="0.25"/>
  <cols>
    <col min="1" max="1" width="30" customWidth="1"/>
    <col min="2" max="2" width="26" customWidth="1"/>
    <col min="3" max="6" width="16" customWidth="1"/>
    <col min="7" max="7" width="18" customWidth="1"/>
    <col min="8" max="8" width="16" customWidth="1"/>
  </cols>
  <sheetData>
    <row r="1" spans="1:8" ht="27.95" customHeight="1" x14ac:dyDescent="0.25">
      <c r="A1" s="13" t="s">
        <v>0</v>
      </c>
      <c r="B1" s="10"/>
      <c r="C1" s="10"/>
      <c r="D1" s="10"/>
      <c r="E1" s="10"/>
      <c r="F1" s="10"/>
      <c r="G1" s="10"/>
      <c r="H1" s="10"/>
    </row>
    <row r="2" spans="1:8" ht="33.950000000000003" customHeight="1" x14ac:dyDescent="0.25">
      <c r="A2" s="11" t="s">
        <v>1</v>
      </c>
      <c r="B2" s="10"/>
      <c r="C2" s="10"/>
      <c r="D2" s="10"/>
      <c r="E2" s="10"/>
      <c r="F2" s="10"/>
      <c r="G2" s="10"/>
      <c r="H2" s="10"/>
    </row>
    <row r="4" spans="1:8" x14ac:dyDescent="0.25">
      <c r="A4" s="1" t="s">
        <v>2</v>
      </c>
      <c r="B4" s="1" t="s">
        <v>3</v>
      </c>
      <c r="C4" s="1" t="s">
        <v>4</v>
      </c>
      <c r="D4" s="1" t="s">
        <v>5</v>
      </c>
      <c r="E4" s="1" t="s">
        <v>6</v>
      </c>
      <c r="F4" s="1" t="s">
        <v>7</v>
      </c>
      <c r="G4" s="1" t="s">
        <v>8</v>
      </c>
      <c r="H4" s="1" t="s">
        <v>9</v>
      </c>
    </row>
    <row r="5" spans="1:8" ht="30" x14ac:dyDescent="0.25">
      <c r="A5" s="2" t="s">
        <v>10</v>
      </c>
      <c r="B5" s="2" t="s">
        <v>11</v>
      </c>
      <c r="C5" s="3">
        <f>COUNTA('Audit Trail'!$A$7:$A$30)-4</f>
        <v>20</v>
      </c>
      <c r="D5" s="3">
        <f>COUNTIF('Audit Trail'!$H$7:$H$30,"Yes")</f>
        <v>0</v>
      </c>
      <c r="E5" s="3">
        <f>COUNTIF('Audit Trail'!$I$7:$I$30,"Passed")</f>
        <v>0</v>
      </c>
      <c r="F5" s="3">
        <f>COUNTIF('Audit Trail'!$I$7:$I$30,"Failed")</f>
        <v>0</v>
      </c>
      <c r="G5" s="3">
        <f>COUNTIF('Audit Trail'!$I$7:$I$30,"Not Executed")</f>
        <v>20</v>
      </c>
      <c r="H5" s="3">
        <f>COUNTIF('Audit Trail'!$I$7:$I$30,"Blocked")</f>
        <v>0</v>
      </c>
    </row>
    <row r="6" spans="1:8" ht="30" x14ac:dyDescent="0.25">
      <c r="A6" s="2" t="s">
        <v>12</v>
      </c>
      <c r="B6" s="2" t="s">
        <v>11</v>
      </c>
      <c r="C6" s="3">
        <f>COUNTA('AR Payment and Reversal'!$A$7:$A$30)-4</f>
        <v>20</v>
      </c>
      <c r="D6" s="3">
        <f>COUNTIF('AR Payment and Reversal'!$H$7:$H$30,"Yes")</f>
        <v>0</v>
      </c>
      <c r="E6" s="3">
        <f>COUNTIF('AR Payment and Reversal'!$I$7:$I$30,"Passed")</f>
        <v>0</v>
      </c>
      <c r="F6" s="3">
        <f>COUNTIF('AR Payment and Reversal'!$I$7:$I$30,"Failed")</f>
        <v>0</v>
      </c>
      <c r="G6" s="3">
        <f>COUNTIF('AR Payment and Reversal'!$I$7:$I$30,"Not Executed")</f>
        <v>20</v>
      </c>
      <c r="H6" s="3">
        <f>COUNTIF('AR Payment and Reversal'!$I$7:$I$30,"Blocked")</f>
        <v>0</v>
      </c>
    </row>
    <row r="7" spans="1:8" x14ac:dyDescent="0.25">
      <c r="A7" s="2" t="s">
        <v>13</v>
      </c>
      <c r="B7" s="2" t="s">
        <v>11</v>
      </c>
      <c r="C7" s="3">
        <f>COUNTA('Invoice UI'!$A$7:$A$33)-5</f>
        <v>22</v>
      </c>
      <c r="D7" s="3">
        <f>COUNTIF('Invoice UI'!$H$7:$H$33,"Yes")</f>
        <v>0</v>
      </c>
      <c r="E7" s="3">
        <f>COUNTIF('Invoice UI'!$I$7:$I$33,"Passed")</f>
        <v>0</v>
      </c>
      <c r="F7" s="3">
        <f>COUNTIF('Invoice UI'!$I$7:$I$33,"Failed")</f>
        <v>0</v>
      </c>
      <c r="G7" s="3">
        <f>COUNTIF('Invoice UI'!$I$7:$I$33,"Not Executed")</f>
        <v>22</v>
      </c>
      <c r="H7" s="3">
        <f>COUNTIF('Invoice UI'!$I$7:$I$33,"Blocked")</f>
        <v>0</v>
      </c>
    </row>
    <row r="8" spans="1:8" ht="45" x14ac:dyDescent="0.25">
      <c r="A8" s="2" t="s">
        <v>14</v>
      </c>
      <c r="B8" s="2" t="s">
        <v>11</v>
      </c>
      <c r="C8" s="3">
        <f>COUNTA('Standard Statements'!$A$7:$A$32)-4</f>
        <v>22</v>
      </c>
      <c r="D8" s="3">
        <f>COUNTIF('Standard Statements'!$H$7:$H$32,"Yes")</f>
        <v>0</v>
      </c>
      <c r="E8" s="3">
        <f>COUNTIF('Standard Statements'!$I$7:$I$32,"Passed")</f>
        <v>0</v>
      </c>
      <c r="F8" s="3">
        <f>COUNTIF('Standard Statements'!$I$7:$I$32,"Failed")</f>
        <v>0</v>
      </c>
      <c r="G8" s="3">
        <f>COUNTIF('Standard Statements'!$I$7:$I$32,"Not Executed")</f>
        <v>22</v>
      </c>
      <c r="H8" s="3">
        <f>COUNTIF('Standard Statements'!$I$7:$I$32,"Blocked")</f>
        <v>0</v>
      </c>
    </row>
    <row r="9" spans="1:8" x14ac:dyDescent="0.25">
      <c r="A9" s="4" t="s">
        <v>15</v>
      </c>
      <c r="B9" s="4"/>
      <c r="C9" s="4">
        <f t="shared" ref="C9:H9" si="0">SUM(C5:C8)</f>
        <v>84</v>
      </c>
      <c r="D9" s="4">
        <f t="shared" si="0"/>
        <v>0</v>
      </c>
      <c r="E9" s="4">
        <f t="shared" si="0"/>
        <v>0</v>
      </c>
      <c r="F9" s="4">
        <f t="shared" si="0"/>
        <v>0</v>
      </c>
      <c r="G9" s="4">
        <f t="shared" si="0"/>
        <v>84</v>
      </c>
      <c r="H9" s="4">
        <f t="shared" si="0"/>
        <v>0</v>
      </c>
    </row>
    <row r="11" spans="1:8" ht="24" customHeight="1" x14ac:dyDescent="0.25">
      <c r="A11" s="12" t="s">
        <v>16</v>
      </c>
      <c r="B11" s="10"/>
      <c r="C11" s="10"/>
      <c r="D11" s="10"/>
      <c r="E11" s="10"/>
      <c r="F11" s="10"/>
      <c r="G11" s="10"/>
      <c r="H11" s="10"/>
    </row>
    <row r="12" spans="1:8" ht="30" customHeight="1" x14ac:dyDescent="0.25">
      <c r="A12" s="9" t="s">
        <v>17</v>
      </c>
      <c r="B12" s="10"/>
      <c r="C12" s="10"/>
      <c r="D12" s="10"/>
      <c r="E12" s="10"/>
      <c r="F12" s="10"/>
      <c r="G12" s="10"/>
      <c r="H12" s="10"/>
    </row>
    <row r="13" spans="1:8" ht="30" customHeight="1" x14ac:dyDescent="0.25">
      <c r="A13" s="9" t="s">
        <v>18</v>
      </c>
      <c r="B13" s="10"/>
      <c r="C13" s="10"/>
      <c r="D13" s="10"/>
      <c r="E13" s="10"/>
      <c r="F13" s="10"/>
      <c r="G13" s="10"/>
      <c r="H13" s="10"/>
    </row>
    <row r="14" spans="1:8" ht="30" customHeight="1" x14ac:dyDescent="0.25">
      <c r="A14" s="9" t="s">
        <v>19</v>
      </c>
      <c r="B14" s="10"/>
      <c r="C14" s="10"/>
      <c r="D14" s="10"/>
      <c r="E14" s="10"/>
      <c r="F14" s="10"/>
      <c r="G14" s="10"/>
      <c r="H14" s="10"/>
    </row>
    <row r="15" spans="1:8" ht="30" customHeight="1" x14ac:dyDescent="0.25">
      <c r="A15" s="9" t="s">
        <v>20</v>
      </c>
      <c r="B15" s="10"/>
      <c r="C15" s="10"/>
      <c r="D15" s="10"/>
      <c r="E15" s="10"/>
      <c r="F15" s="10"/>
      <c r="G15" s="10"/>
      <c r="H15" s="10"/>
    </row>
    <row r="16" spans="1:8" ht="30" customHeight="1" x14ac:dyDescent="0.25">
      <c r="A16" s="9" t="s">
        <v>21</v>
      </c>
      <c r="B16" s="10"/>
      <c r="C16" s="10"/>
      <c r="D16" s="10"/>
      <c r="E16" s="10"/>
      <c r="F16" s="10"/>
      <c r="G16" s="10"/>
      <c r="H16" s="10"/>
    </row>
  </sheetData>
  <mergeCells count="8">
    <mergeCell ref="A1:H1"/>
    <mergeCell ref="A12:H12"/>
    <mergeCell ref="A15:H15"/>
    <mergeCell ref="A2:H2"/>
    <mergeCell ref="A16:H16"/>
    <mergeCell ref="A13:H13"/>
    <mergeCell ref="A11:H11"/>
    <mergeCell ref="A14:H14"/>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J30"/>
  <sheetViews>
    <sheetView showGridLines="0" workbookViewId="0">
      <pane ySplit="6" topLeftCell="A19" activePane="bottomLeft" state="frozen"/>
      <selection pane="bottomLeft" activeCell="B20" sqref="B20"/>
    </sheetView>
  </sheetViews>
  <sheetFormatPr defaultRowHeight="15" x14ac:dyDescent="0.25"/>
  <cols>
    <col min="1" max="1" width="18" customWidth="1"/>
    <col min="2" max="2" width="40" customWidth="1"/>
    <col min="3" max="3" width="38" customWidth="1"/>
    <col min="4" max="4" width="34" customWidth="1"/>
    <col min="5" max="5" width="58" customWidth="1"/>
    <col min="6" max="6" width="48" customWidth="1"/>
    <col min="7" max="7" width="36" customWidth="1"/>
    <col min="8" max="8" width="15" customWidth="1"/>
    <col min="9" max="9" width="16" customWidth="1"/>
    <col min="10" max="10" width="38" customWidth="1"/>
  </cols>
  <sheetData>
    <row r="1" spans="1:10" ht="26.1" customHeight="1" x14ac:dyDescent="0.25">
      <c r="A1" s="13" t="s">
        <v>10</v>
      </c>
      <c r="B1" s="10"/>
      <c r="C1" s="10"/>
      <c r="D1" s="10"/>
      <c r="E1" s="10"/>
      <c r="F1" s="10"/>
      <c r="G1" s="10"/>
      <c r="H1" s="10"/>
      <c r="I1" s="10"/>
      <c r="J1" s="10"/>
    </row>
    <row r="2" spans="1:10" ht="42" customHeight="1" x14ac:dyDescent="0.25">
      <c r="A2" s="14" t="s">
        <v>22</v>
      </c>
      <c r="B2" s="10"/>
      <c r="C2" s="11" t="s">
        <v>23</v>
      </c>
      <c r="D2" s="10"/>
      <c r="E2" s="10"/>
      <c r="F2" s="10"/>
      <c r="G2" s="10"/>
      <c r="H2" s="10"/>
      <c r="I2" s="10"/>
      <c r="J2" s="10"/>
    </row>
    <row r="3" spans="1:10" ht="42" customHeight="1" x14ac:dyDescent="0.25">
      <c r="A3" s="10"/>
      <c r="B3" s="10"/>
      <c r="C3" s="10"/>
      <c r="D3" s="10"/>
      <c r="E3" s="10"/>
      <c r="F3" s="10"/>
      <c r="G3" s="10"/>
      <c r="H3" s="10"/>
      <c r="I3" s="10"/>
      <c r="J3" s="10"/>
    </row>
    <row r="4" spans="1:10" ht="27.95" customHeight="1" x14ac:dyDescent="0.25">
      <c r="A4" s="15" t="s">
        <v>24</v>
      </c>
      <c r="B4" s="10"/>
      <c r="C4" s="10"/>
      <c r="D4" s="10"/>
      <c r="E4" s="10"/>
      <c r="F4" s="10"/>
      <c r="G4" s="10"/>
      <c r="H4" s="10"/>
      <c r="I4" s="10"/>
      <c r="J4" s="10"/>
    </row>
    <row r="6" spans="1:10" ht="33.950000000000003" customHeight="1" x14ac:dyDescent="0.25">
      <c r="A6" s="1" t="s">
        <v>25</v>
      </c>
      <c r="B6" s="1" t="s">
        <v>26</v>
      </c>
      <c r="C6" s="1" t="s">
        <v>27</v>
      </c>
      <c r="D6" s="1" t="s">
        <v>28</v>
      </c>
      <c r="E6" s="1" t="s">
        <v>29</v>
      </c>
      <c r="F6" s="1" t="s">
        <v>30</v>
      </c>
      <c r="G6" s="1" t="s">
        <v>31</v>
      </c>
      <c r="H6" s="1" t="s">
        <v>32</v>
      </c>
      <c r="I6" s="1" t="s">
        <v>33</v>
      </c>
      <c r="J6" s="1" t="s">
        <v>34</v>
      </c>
    </row>
    <row r="7" spans="1:10" ht="21.95" customHeight="1" x14ac:dyDescent="0.25">
      <c r="A7" s="16" t="s">
        <v>35</v>
      </c>
      <c r="B7" s="10"/>
      <c r="C7" s="10"/>
      <c r="D7" s="10"/>
      <c r="E7" s="10"/>
      <c r="F7" s="10"/>
      <c r="G7" s="10"/>
      <c r="H7" s="10"/>
      <c r="I7" s="10"/>
      <c r="J7" s="10"/>
    </row>
    <row r="8" spans="1:10" ht="111.95" customHeight="1" x14ac:dyDescent="0.25">
      <c r="A8" s="5" t="s">
        <v>36</v>
      </c>
      <c r="B8" s="6" t="s">
        <v>37</v>
      </c>
      <c r="C8" s="6" t="s">
        <v>38</v>
      </c>
      <c r="D8" s="6" t="s">
        <v>39</v>
      </c>
      <c r="E8" s="6" t="s">
        <v>40</v>
      </c>
      <c r="F8" s="6" t="s">
        <v>41</v>
      </c>
      <c r="G8" s="6" t="s">
        <v>42</v>
      </c>
      <c r="H8" s="7" t="s">
        <v>43</v>
      </c>
      <c r="I8" s="8" t="s">
        <v>8</v>
      </c>
      <c r="J8" s="6" t="s">
        <v>44</v>
      </c>
    </row>
    <row r="9" spans="1:10" ht="111.95" customHeight="1" x14ac:dyDescent="0.25">
      <c r="A9" s="5" t="s">
        <v>45</v>
      </c>
      <c r="B9" s="6" t="s">
        <v>46</v>
      </c>
      <c r="C9" s="6" t="s">
        <v>38</v>
      </c>
      <c r="D9" s="6" t="s">
        <v>39</v>
      </c>
      <c r="E9" s="6" t="s">
        <v>47</v>
      </c>
      <c r="F9" s="6" t="s">
        <v>48</v>
      </c>
      <c r="G9" s="6" t="s">
        <v>42</v>
      </c>
      <c r="H9" s="7" t="s">
        <v>43</v>
      </c>
      <c r="I9" s="8" t="s">
        <v>8</v>
      </c>
      <c r="J9" s="6" t="s">
        <v>49</v>
      </c>
    </row>
    <row r="10" spans="1:10" ht="111.95" customHeight="1" x14ac:dyDescent="0.25">
      <c r="A10" s="5" t="s">
        <v>50</v>
      </c>
      <c r="B10" s="6" t="s">
        <v>51</v>
      </c>
      <c r="C10" s="6" t="s">
        <v>38</v>
      </c>
      <c r="D10" s="6" t="s">
        <v>39</v>
      </c>
      <c r="E10" s="6" t="s">
        <v>52</v>
      </c>
      <c r="F10" s="6" t="s">
        <v>53</v>
      </c>
      <c r="G10" s="6" t="s">
        <v>42</v>
      </c>
      <c r="H10" s="7" t="s">
        <v>43</v>
      </c>
      <c r="I10" s="8" t="s">
        <v>8</v>
      </c>
      <c r="J10" s="6" t="s">
        <v>54</v>
      </c>
    </row>
    <row r="11" spans="1:10" ht="111.95" customHeight="1" x14ac:dyDescent="0.25">
      <c r="A11" s="5" t="s">
        <v>55</v>
      </c>
      <c r="B11" s="6" t="s">
        <v>56</v>
      </c>
      <c r="C11" s="6" t="s">
        <v>38</v>
      </c>
      <c r="D11" s="6" t="s">
        <v>39</v>
      </c>
      <c r="E11" s="6" t="s">
        <v>57</v>
      </c>
      <c r="F11" s="6" t="s">
        <v>58</v>
      </c>
      <c r="G11" s="6" t="s">
        <v>42</v>
      </c>
      <c r="H11" s="7" t="s">
        <v>43</v>
      </c>
      <c r="I11" s="8" t="s">
        <v>8</v>
      </c>
      <c r="J11" s="6"/>
    </row>
    <row r="12" spans="1:10" ht="21.95" customHeight="1" x14ac:dyDescent="0.25">
      <c r="A12" s="17" t="s">
        <v>59</v>
      </c>
      <c r="B12" s="10"/>
      <c r="C12" s="10"/>
      <c r="D12" s="10"/>
      <c r="E12" s="10"/>
      <c r="F12" s="10"/>
      <c r="G12" s="10"/>
      <c r="H12" s="10"/>
      <c r="I12" s="10"/>
      <c r="J12" s="10"/>
    </row>
    <row r="13" spans="1:10" ht="111.95" customHeight="1" x14ac:dyDescent="0.25">
      <c r="A13" s="5" t="s">
        <v>60</v>
      </c>
      <c r="B13" s="6" t="s">
        <v>61</v>
      </c>
      <c r="C13" s="6" t="s">
        <v>38</v>
      </c>
      <c r="D13" s="6" t="s">
        <v>39</v>
      </c>
      <c r="E13" s="6" t="s">
        <v>62</v>
      </c>
      <c r="F13" s="6" t="s">
        <v>63</v>
      </c>
      <c r="G13" s="6" t="s">
        <v>42</v>
      </c>
      <c r="H13" s="7" t="s">
        <v>43</v>
      </c>
      <c r="I13" s="8" t="s">
        <v>8</v>
      </c>
      <c r="J13" s="6"/>
    </row>
    <row r="14" spans="1:10" ht="111.95" customHeight="1" x14ac:dyDescent="0.25">
      <c r="A14" s="5" t="s">
        <v>64</v>
      </c>
      <c r="B14" s="6" t="s">
        <v>65</v>
      </c>
      <c r="C14" s="6" t="s">
        <v>38</v>
      </c>
      <c r="D14" s="6" t="s">
        <v>39</v>
      </c>
      <c r="E14" s="6" t="s">
        <v>66</v>
      </c>
      <c r="F14" s="6" t="s">
        <v>67</v>
      </c>
      <c r="G14" s="6" t="s">
        <v>42</v>
      </c>
      <c r="H14" s="7" t="s">
        <v>43</v>
      </c>
      <c r="I14" s="8" t="s">
        <v>8</v>
      </c>
      <c r="J14" s="6"/>
    </row>
    <row r="15" spans="1:10" ht="111.95" customHeight="1" x14ac:dyDescent="0.25">
      <c r="A15" s="5" t="s">
        <v>68</v>
      </c>
      <c r="B15" s="6" t="s">
        <v>69</v>
      </c>
      <c r="C15" s="6" t="s">
        <v>38</v>
      </c>
      <c r="D15" s="6" t="s">
        <v>70</v>
      </c>
      <c r="E15" s="6" t="s">
        <v>71</v>
      </c>
      <c r="F15" s="6" t="s">
        <v>72</v>
      </c>
      <c r="G15" s="6" t="s">
        <v>42</v>
      </c>
      <c r="H15" s="7" t="s">
        <v>43</v>
      </c>
      <c r="I15" s="8" t="s">
        <v>8</v>
      </c>
      <c r="J15" s="6"/>
    </row>
    <row r="16" spans="1:10" ht="111.95" customHeight="1" x14ac:dyDescent="0.25">
      <c r="A16" s="5" t="s">
        <v>73</v>
      </c>
      <c r="B16" s="6" t="s">
        <v>74</v>
      </c>
      <c r="C16" s="6" t="s">
        <v>38</v>
      </c>
      <c r="D16" s="6" t="s">
        <v>75</v>
      </c>
      <c r="E16" s="6" t="s">
        <v>76</v>
      </c>
      <c r="F16" s="6" t="s">
        <v>77</v>
      </c>
      <c r="G16" s="6" t="s">
        <v>42</v>
      </c>
      <c r="H16" s="7" t="s">
        <v>43</v>
      </c>
      <c r="I16" s="8" t="s">
        <v>8</v>
      </c>
      <c r="J16" s="6"/>
    </row>
    <row r="17" spans="1:10" ht="111.95" customHeight="1" x14ac:dyDescent="0.25">
      <c r="A17" s="5" t="s">
        <v>78</v>
      </c>
      <c r="B17" s="6" t="s">
        <v>79</v>
      </c>
      <c r="C17" s="6" t="s">
        <v>38</v>
      </c>
      <c r="D17" s="6" t="s">
        <v>80</v>
      </c>
      <c r="E17" s="6" t="s">
        <v>81</v>
      </c>
      <c r="F17" s="6" t="s">
        <v>82</v>
      </c>
      <c r="G17" s="6" t="s">
        <v>42</v>
      </c>
      <c r="H17" s="7" t="s">
        <v>43</v>
      </c>
      <c r="I17" s="8" t="s">
        <v>8</v>
      </c>
      <c r="J17" s="6"/>
    </row>
    <row r="18" spans="1:10" ht="111.95" customHeight="1" x14ac:dyDescent="0.25">
      <c r="A18" s="5" t="s">
        <v>83</v>
      </c>
      <c r="B18" s="6" t="s">
        <v>84</v>
      </c>
      <c r="C18" s="6" t="s">
        <v>38</v>
      </c>
      <c r="D18" s="6" t="s">
        <v>85</v>
      </c>
      <c r="E18" s="6" t="s">
        <v>86</v>
      </c>
      <c r="F18" s="6" t="s">
        <v>87</v>
      </c>
      <c r="G18" s="6" t="s">
        <v>42</v>
      </c>
      <c r="H18" s="7" t="s">
        <v>43</v>
      </c>
      <c r="I18" s="8" t="s">
        <v>8</v>
      </c>
      <c r="J18" s="6"/>
    </row>
    <row r="19" spans="1:10" ht="21.95" customHeight="1" x14ac:dyDescent="0.25">
      <c r="A19" s="19" t="s">
        <v>88</v>
      </c>
      <c r="B19" s="10"/>
      <c r="C19" s="10"/>
      <c r="D19" s="10"/>
      <c r="E19" s="10"/>
      <c r="F19" s="10"/>
      <c r="G19" s="10"/>
      <c r="H19" s="10"/>
      <c r="I19" s="10"/>
      <c r="J19" s="10"/>
    </row>
    <row r="20" spans="1:10" ht="111.95" customHeight="1" x14ac:dyDescent="0.25">
      <c r="A20" s="5" t="s">
        <v>89</v>
      </c>
      <c r="B20" s="6" t="s">
        <v>90</v>
      </c>
      <c r="C20" s="6" t="s">
        <v>38</v>
      </c>
      <c r="D20" s="6" t="s">
        <v>91</v>
      </c>
      <c r="E20" s="6" t="s">
        <v>92</v>
      </c>
      <c r="F20" s="6" t="s">
        <v>93</v>
      </c>
      <c r="G20" s="6" t="s">
        <v>42</v>
      </c>
      <c r="H20" s="7" t="s">
        <v>43</v>
      </c>
      <c r="I20" s="8" t="s">
        <v>8</v>
      </c>
      <c r="J20" s="6"/>
    </row>
    <row r="21" spans="1:10" ht="111.95" customHeight="1" x14ac:dyDescent="0.25">
      <c r="A21" s="5" t="s">
        <v>94</v>
      </c>
      <c r="B21" s="6" t="s">
        <v>95</v>
      </c>
      <c r="C21" s="6" t="s">
        <v>38</v>
      </c>
      <c r="D21" s="6" t="s">
        <v>96</v>
      </c>
      <c r="E21" s="6" t="s">
        <v>97</v>
      </c>
      <c r="F21" s="6" t="s">
        <v>98</v>
      </c>
      <c r="G21" s="6" t="s">
        <v>42</v>
      </c>
      <c r="H21" s="7" t="s">
        <v>43</v>
      </c>
      <c r="I21" s="8" t="s">
        <v>8</v>
      </c>
      <c r="J21" s="6"/>
    </row>
    <row r="22" spans="1:10" ht="111.95" customHeight="1" x14ac:dyDescent="0.25">
      <c r="A22" s="5" t="s">
        <v>99</v>
      </c>
      <c r="B22" s="6" t="s">
        <v>100</v>
      </c>
      <c r="C22" s="6" t="s">
        <v>38</v>
      </c>
      <c r="D22" s="6" t="s">
        <v>101</v>
      </c>
      <c r="E22" s="6" t="s">
        <v>102</v>
      </c>
      <c r="F22" s="6" t="s">
        <v>103</v>
      </c>
      <c r="G22" s="6" t="s">
        <v>42</v>
      </c>
      <c r="H22" s="7" t="s">
        <v>43</v>
      </c>
      <c r="I22" s="8" t="s">
        <v>8</v>
      </c>
      <c r="J22" s="6"/>
    </row>
    <row r="23" spans="1:10" ht="111.95" customHeight="1" x14ac:dyDescent="0.25">
      <c r="A23" s="5" t="s">
        <v>104</v>
      </c>
      <c r="B23" s="6" t="s">
        <v>105</v>
      </c>
      <c r="C23" s="6" t="s">
        <v>38</v>
      </c>
      <c r="D23" s="6" t="s">
        <v>106</v>
      </c>
      <c r="E23" s="6" t="s">
        <v>107</v>
      </c>
      <c r="F23" s="6" t="s">
        <v>108</v>
      </c>
      <c r="G23" s="6" t="s">
        <v>42</v>
      </c>
      <c r="H23" s="7" t="s">
        <v>43</v>
      </c>
      <c r="I23" s="8" t="s">
        <v>8</v>
      </c>
      <c r="J23" s="6"/>
    </row>
    <row r="24" spans="1:10" ht="111.95" customHeight="1" x14ac:dyDescent="0.25">
      <c r="A24" s="5" t="s">
        <v>109</v>
      </c>
      <c r="B24" s="6" t="s">
        <v>110</v>
      </c>
      <c r="C24" s="6" t="s">
        <v>38</v>
      </c>
      <c r="D24" s="6" t="s">
        <v>111</v>
      </c>
      <c r="E24" s="6" t="s">
        <v>112</v>
      </c>
      <c r="F24" s="6" t="s">
        <v>113</v>
      </c>
      <c r="G24" s="6" t="s">
        <v>42</v>
      </c>
      <c r="H24" s="7" t="s">
        <v>43</v>
      </c>
      <c r="I24" s="8" t="s">
        <v>8</v>
      </c>
      <c r="J24" s="6"/>
    </row>
    <row r="25" spans="1:10" ht="111.95" customHeight="1" x14ac:dyDescent="0.25">
      <c r="A25" s="5" t="s">
        <v>114</v>
      </c>
      <c r="B25" s="6" t="s">
        <v>115</v>
      </c>
      <c r="C25" s="6" t="s">
        <v>38</v>
      </c>
      <c r="D25" s="6" t="s">
        <v>116</v>
      </c>
      <c r="E25" s="6" t="s">
        <v>117</v>
      </c>
      <c r="F25" s="6" t="s">
        <v>118</v>
      </c>
      <c r="G25" s="6" t="s">
        <v>42</v>
      </c>
      <c r="H25" s="7" t="s">
        <v>43</v>
      </c>
      <c r="I25" s="8" t="s">
        <v>8</v>
      </c>
      <c r="J25" s="6"/>
    </row>
    <row r="26" spans="1:10" ht="111.95" customHeight="1" x14ac:dyDescent="0.25">
      <c r="A26" s="5" t="s">
        <v>119</v>
      </c>
      <c r="B26" s="6" t="s">
        <v>120</v>
      </c>
      <c r="C26" s="6" t="s">
        <v>38</v>
      </c>
      <c r="D26" s="6" t="s">
        <v>39</v>
      </c>
      <c r="E26" s="6" t="s">
        <v>121</v>
      </c>
      <c r="F26" s="6" t="s">
        <v>122</v>
      </c>
      <c r="G26" s="6" t="s">
        <v>42</v>
      </c>
      <c r="H26" s="7" t="s">
        <v>43</v>
      </c>
      <c r="I26" s="8" t="s">
        <v>8</v>
      </c>
      <c r="J26" s="6"/>
    </row>
    <row r="27" spans="1:10" ht="111.95" customHeight="1" x14ac:dyDescent="0.25">
      <c r="A27" s="5" t="s">
        <v>123</v>
      </c>
      <c r="B27" s="6" t="s">
        <v>124</v>
      </c>
      <c r="C27" s="6" t="s">
        <v>38</v>
      </c>
      <c r="D27" s="6" t="s">
        <v>125</v>
      </c>
      <c r="E27" s="6" t="s">
        <v>126</v>
      </c>
      <c r="F27" s="6" t="s">
        <v>127</v>
      </c>
      <c r="G27" s="6" t="s">
        <v>42</v>
      </c>
      <c r="H27" s="7" t="s">
        <v>43</v>
      </c>
      <c r="I27" s="8" t="s">
        <v>8</v>
      </c>
      <c r="J27" s="6"/>
    </row>
    <row r="28" spans="1:10" ht="21.95" customHeight="1" x14ac:dyDescent="0.25">
      <c r="A28" s="18" t="s">
        <v>128</v>
      </c>
      <c r="B28" s="10"/>
      <c r="C28" s="10"/>
      <c r="D28" s="10"/>
      <c r="E28" s="10"/>
      <c r="F28" s="10"/>
      <c r="G28" s="10"/>
      <c r="H28" s="10"/>
      <c r="I28" s="10"/>
      <c r="J28" s="10"/>
    </row>
    <row r="29" spans="1:10" ht="111.95" customHeight="1" x14ac:dyDescent="0.25">
      <c r="A29" s="5" t="s">
        <v>129</v>
      </c>
      <c r="B29" s="6" t="s">
        <v>130</v>
      </c>
      <c r="C29" s="6" t="s">
        <v>38</v>
      </c>
      <c r="D29" s="6" t="s">
        <v>131</v>
      </c>
      <c r="E29" s="6" t="s">
        <v>132</v>
      </c>
      <c r="F29" s="6" t="s">
        <v>133</v>
      </c>
      <c r="G29" s="6" t="s">
        <v>42</v>
      </c>
      <c r="H29" s="7" t="s">
        <v>43</v>
      </c>
      <c r="I29" s="8" t="s">
        <v>8</v>
      </c>
      <c r="J29" s="6"/>
    </row>
    <row r="30" spans="1:10" ht="111.95" customHeight="1" x14ac:dyDescent="0.25">
      <c r="A30" s="5" t="s">
        <v>134</v>
      </c>
      <c r="B30" s="6" t="s">
        <v>135</v>
      </c>
      <c r="C30" s="6" t="s">
        <v>38</v>
      </c>
      <c r="D30" s="6" t="s">
        <v>136</v>
      </c>
      <c r="E30" s="6" t="s">
        <v>137</v>
      </c>
      <c r="F30" s="6" t="s">
        <v>138</v>
      </c>
      <c r="G30" s="6" t="s">
        <v>42</v>
      </c>
      <c r="H30" s="7" t="s">
        <v>43</v>
      </c>
      <c r="I30" s="8" t="s">
        <v>8</v>
      </c>
      <c r="J30" s="6"/>
    </row>
  </sheetData>
  <autoFilter ref="A6:J30" xr:uid="{00000000-0009-0000-0000-000001000000}"/>
  <mergeCells count="8">
    <mergeCell ref="A12:J12"/>
    <mergeCell ref="A28:J28"/>
    <mergeCell ref="A19:J19"/>
    <mergeCell ref="A1:J1"/>
    <mergeCell ref="A2:B3"/>
    <mergeCell ref="C2:J3"/>
    <mergeCell ref="A4:J4"/>
    <mergeCell ref="A7:J7"/>
  </mergeCells>
  <conditionalFormatting sqref="I7:I30">
    <cfRule type="expression" dxfId="19" priority="1">
      <formula>ISNUMBER(SEARCH("Passed",I7))</formula>
    </cfRule>
    <cfRule type="expression" dxfId="18" priority="2">
      <formula>ISNUMBER(SEARCH("Failed",I7))</formula>
    </cfRule>
    <cfRule type="expression" dxfId="17" priority="3">
      <formula>ISNUMBER(SEARCH("Blocked",I7))</formula>
    </cfRule>
    <cfRule type="expression" dxfId="16" priority="4">
      <formula>ISNUMBER(SEARCH("In Progress",I7))</formula>
    </cfRule>
    <cfRule type="expression" dxfId="15" priority="5">
      <formula>ISNUMBER(SEARCH("Not Applicable",I7))</formula>
    </cfRule>
  </conditionalFormatting>
  <dataValidations count="2">
    <dataValidation type="list" allowBlank="1" sqref="H8:H11 H13:H18 H20:H27 H29:H30" xr:uid="{00000000-0002-0000-0100-000000000000}">
      <formula1>"Yes,No,Partial,Planned,TBD"</formula1>
    </dataValidation>
    <dataValidation type="list" allowBlank="1" sqref="I8:I11 I13:I18 I20:I27 I29:I30" xr:uid="{00000000-0002-0000-0100-000001000000}">
      <formula1>"Not Executed,In Progress,Passed,Failed,Blocked,Not Applicable"</formula1>
    </dataValidation>
  </dataValidations>
  <pageMargins left="0.75" right="0.75" top="1" bottom="1" header="0.5" footer="0.5"/>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J30"/>
  <sheetViews>
    <sheetView showGridLines="0" workbookViewId="0">
      <pane ySplit="6" topLeftCell="A27" activePane="bottomLeft" state="frozen"/>
      <selection pane="bottomLeft" activeCell="B22" sqref="B22"/>
    </sheetView>
  </sheetViews>
  <sheetFormatPr defaultRowHeight="15" x14ac:dyDescent="0.25"/>
  <cols>
    <col min="1" max="1" width="18" customWidth="1"/>
    <col min="2" max="2" width="40" customWidth="1"/>
    <col min="3" max="3" width="38" customWidth="1"/>
    <col min="4" max="4" width="34" customWidth="1"/>
    <col min="5" max="5" width="58" customWidth="1"/>
    <col min="6" max="6" width="48" customWidth="1"/>
    <col min="7" max="7" width="36" customWidth="1"/>
    <col min="8" max="8" width="15" customWidth="1"/>
    <col min="9" max="9" width="16" customWidth="1"/>
    <col min="10" max="10" width="38" customWidth="1"/>
  </cols>
  <sheetData>
    <row r="1" spans="1:10" ht="26.1" customHeight="1" x14ac:dyDescent="0.25">
      <c r="A1" s="13" t="s">
        <v>12</v>
      </c>
      <c r="B1" s="10"/>
      <c r="C1" s="10"/>
      <c r="D1" s="10"/>
      <c r="E1" s="10"/>
      <c r="F1" s="10"/>
      <c r="G1" s="10"/>
      <c r="H1" s="10"/>
      <c r="I1" s="10"/>
      <c r="J1" s="10"/>
    </row>
    <row r="2" spans="1:10" ht="42" customHeight="1" x14ac:dyDescent="0.25">
      <c r="A2" s="14" t="s">
        <v>22</v>
      </c>
      <c r="B2" s="10"/>
      <c r="C2" s="11" t="s">
        <v>23</v>
      </c>
      <c r="D2" s="10"/>
      <c r="E2" s="10"/>
      <c r="F2" s="10"/>
      <c r="G2" s="10"/>
      <c r="H2" s="10"/>
      <c r="I2" s="10"/>
      <c r="J2" s="10"/>
    </row>
    <row r="3" spans="1:10" ht="42" customHeight="1" x14ac:dyDescent="0.25">
      <c r="A3" s="10"/>
      <c r="B3" s="10"/>
      <c r="C3" s="10"/>
      <c r="D3" s="10"/>
      <c r="E3" s="10"/>
      <c r="F3" s="10"/>
      <c r="G3" s="10"/>
      <c r="H3" s="10"/>
      <c r="I3" s="10"/>
      <c r="J3" s="10"/>
    </row>
    <row r="4" spans="1:10" ht="27.95" customHeight="1" x14ac:dyDescent="0.25">
      <c r="A4" s="15" t="s">
        <v>139</v>
      </c>
      <c r="B4" s="10"/>
      <c r="C4" s="10"/>
      <c r="D4" s="10"/>
      <c r="E4" s="10"/>
      <c r="F4" s="10"/>
      <c r="G4" s="10"/>
      <c r="H4" s="10"/>
      <c r="I4" s="10"/>
      <c r="J4" s="10"/>
    </row>
    <row r="6" spans="1:10" ht="33.950000000000003" customHeight="1" x14ac:dyDescent="0.25">
      <c r="A6" s="1" t="s">
        <v>25</v>
      </c>
      <c r="B6" s="1" t="s">
        <v>26</v>
      </c>
      <c r="C6" s="1" t="s">
        <v>27</v>
      </c>
      <c r="D6" s="1" t="s">
        <v>28</v>
      </c>
      <c r="E6" s="1" t="s">
        <v>29</v>
      </c>
      <c r="F6" s="1" t="s">
        <v>30</v>
      </c>
      <c r="G6" s="1" t="s">
        <v>31</v>
      </c>
      <c r="H6" s="1" t="s">
        <v>32</v>
      </c>
      <c r="I6" s="1" t="s">
        <v>33</v>
      </c>
      <c r="J6" s="1" t="s">
        <v>34</v>
      </c>
    </row>
    <row r="7" spans="1:10" ht="21.95" customHeight="1" x14ac:dyDescent="0.25">
      <c r="A7" s="16" t="s">
        <v>140</v>
      </c>
      <c r="B7" s="10"/>
      <c r="C7" s="10"/>
      <c r="D7" s="10"/>
      <c r="E7" s="10"/>
      <c r="F7" s="10"/>
      <c r="G7" s="10"/>
      <c r="H7" s="10"/>
      <c r="I7" s="10"/>
      <c r="J7" s="10"/>
    </row>
    <row r="8" spans="1:10" ht="111.95" customHeight="1" x14ac:dyDescent="0.25">
      <c r="A8" s="5" t="s">
        <v>141</v>
      </c>
      <c r="B8" s="6" t="s">
        <v>142</v>
      </c>
      <c r="C8" s="6" t="s">
        <v>38</v>
      </c>
      <c r="D8" s="6" t="s">
        <v>143</v>
      </c>
      <c r="E8" s="6" t="s">
        <v>144</v>
      </c>
      <c r="F8" s="6" t="s">
        <v>145</v>
      </c>
      <c r="G8" s="6" t="s">
        <v>146</v>
      </c>
      <c r="H8" s="7" t="s">
        <v>43</v>
      </c>
      <c r="I8" s="8" t="s">
        <v>8</v>
      </c>
      <c r="J8" s="6"/>
    </row>
    <row r="9" spans="1:10" ht="111.95" customHeight="1" x14ac:dyDescent="0.25">
      <c r="A9" s="5" t="s">
        <v>147</v>
      </c>
      <c r="B9" s="6" t="s">
        <v>148</v>
      </c>
      <c r="C9" s="6" t="s">
        <v>38</v>
      </c>
      <c r="D9" s="6" t="s">
        <v>149</v>
      </c>
      <c r="E9" s="6" t="s">
        <v>150</v>
      </c>
      <c r="F9" s="6" t="s">
        <v>151</v>
      </c>
      <c r="G9" s="6" t="s">
        <v>146</v>
      </c>
      <c r="H9" s="7" t="s">
        <v>43</v>
      </c>
      <c r="I9" s="8" t="s">
        <v>8</v>
      </c>
      <c r="J9" s="6"/>
    </row>
    <row r="10" spans="1:10" ht="111.95" customHeight="1" x14ac:dyDescent="0.25">
      <c r="A10" s="5" t="s">
        <v>152</v>
      </c>
      <c r="B10" s="6" t="s">
        <v>153</v>
      </c>
      <c r="C10" s="6" t="s">
        <v>38</v>
      </c>
      <c r="D10" s="6" t="s">
        <v>154</v>
      </c>
      <c r="E10" s="6" t="s">
        <v>155</v>
      </c>
      <c r="F10" s="6" t="s">
        <v>156</v>
      </c>
      <c r="G10" s="6" t="s">
        <v>146</v>
      </c>
      <c r="H10" s="7" t="s">
        <v>43</v>
      </c>
      <c r="I10" s="8" t="s">
        <v>8</v>
      </c>
      <c r="J10" s="6"/>
    </row>
    <row r="11" spans="1:10" ht="111.95" customHeight="1" x14ac:dyDescent="0.25">
      <c r="A11" s="5" t="s">
        <v>157</v>
      </c>
      <c r="B11" s="6" t="s">
        <v>158</v>
      </c>
      <c r="C11" s="6" t="s">
        <v>38</v>
      </c>
      <c r="D11" s="6" t="s">
        <v>159</v>
      </c>
      <c r="E11" s="6" t="s">
        <v>160</v>
      </c>
      <c r="F11" s="6" t="s">
        <v>161</v>
      </c>
      <c r="G11" s="6" t="s">
        <v>146</v>
      </c>
      <c r="H11" s="7" t="s">
        <v>43</v>
      </c>
      <c r="I11" s="8" t="s">
        <v>8</v>
      </c>
      <c r="J11" s="6"/>
    </row>
    <row r="12" spans="1:10" ht="111.95" customHeight="1" x14ac:dyDescent="0.25">
      <c r="A12" s="5" t="s">
        <v>162</v>
      </c>
      <c r="B12" s="6" t="s">
        <v>163</v>
      </c>
      <c r="C12" s="6" t="s">
        <v>38</v>
      </c>
      <c r="D12" s="6" t="s">
        <v>164</v>
      </c>
      <c r="E12" s="6" t="s">
        <v>165</v>
      </c>
      <c r="F12" s="6" t="s">
        <v>166</v>
      </c>
      <c r="G12" s="6" t="s">
        <v>146</v>
      </c>
      <c r="H12" s="7" t="s">
        <v>43</v>
      </c>
      <c r="I12" s="8" t="s">
        <v>8</v>
      </c>
      <c r="J12" s="6"/>
    </row>
    <row r="13" spans="1:10" ht="21.95" customHeight="1" x14ac:dyDescent="0.25">
      <c r="A13" s="17" t="s">
        <v>167</v>
      </c>
      <c r="B13" s="10"/>
      <c r="C13" s="10"/>
      <c r="D13" s="10"/>
      <c r="E13" s="10"/>
      <c r="F13" s="10"/>
      <c r="G13" s="10"/>
      <c r="H13" s="10"/>
      <c r="I13" s="10"/>
      <c r="J13" s="10"/>
    </row>
    <row r="14" spans="1:10" ht="111.95" customHeight="1" x14ac:dyDescent="0.25">
      <c r="A14" s="5" t="s">
        <v>168</v>
      </c>
      <c r="B14" s="6" t="s">
        <v>169</v>
      </c>
      <c r="C14" s="6" t="s">
        <v>38</v>
      </c>
      <c r="D14" s="6" t="s">
        <v>170</v>
      </c>
      <c r="E14" s="6" t="s">
        <v>171</v>
      </c>
      <c r="F14" s="6" t="s">
        <v>172</v>
      </c>
      <c r="G14" s="6" t="s">
        <v>146</v>
      </c>
      <c r="H14" s="7" t="s">
        <v>43</v>
      </c>
      <c r="I14" s="8" t="s">
        <v>8</v>
      </c>
      <c r="J14" s="6"/>
    </row>
    <row r="15" spans="1:10" ht="111.95" customHeight="1" x14ac:dyDescent="0.25">
      <c r="A15" s="5" t="s">
        <v>173</v>
      </c>
      <c r="B15" s="6" t="s">
        <v>174</v>
      </c>
      <c r="C15" s="6" t="s">
        <v>38</v>
      </c>
      <c r="D15" s="6" t="s">
        <v>175</v>
      </c>
      <c r="E15" s="6" t="s">
        <v>176</v>
      </c>
      <c r="F15" s="6" t="s">
        <v>177</v>
      </c>
      <c r="G15" s="6" t="s">
        <v>146</v>
      </c>
      <c r="H15" s="7" t="s">
        <v>43</v>
      </c>
      <c r="I15" s="8" t="s">
        <v>8</v>
      </c>
      <c r="J15" s="6"/>
    </row>
    <row r="16" spans="1:10" ht="111.95" customHeight="1" x14ac:dyDescent="0.25">
      <c r="A16" s="5" t="s">
        <v>178</v>
      </c>
      <c r="B16" s="6" t="s">
        <v>179</v>
      </c>
      <c r="C16" s="6" t="s">
        <v>38</v>
      </c>
      <c r="D16" s="6" t="s">
        <v>180</v>
      </c>
      <c r="E16" s="6" t="s">
        <v>181</v>
      </c>
      <c r="F16" s="6" t="s">
        <v>182</v>
      </c>
      <c r="G16" s="6" t="s">
        <v>146</v>
      </c>
      <c r="H16" s="7" t="s">
        <v>43</v>
      </c>
      <c r="I16" s="8" t="s">
        <v>8</v>
      </c>
      <c r="J16" s="6"/>
    </row>
    <row r="17" spans="1:10" ht="111.95" customHeight="1" x14ac:dyDescent="0.25">
      <c r="A17" s="5" t="s">
        <v>183</v>
      </c>
      <c r="B17" s="6" t="s">
        <v>184</v>
      </c>
      <c r="C17" s="6" t="s">
        <v>38</v>
      </c>
      <c r="D17" s="6" t="s">
        <v>185</v>
      </c>
      <c r="E17" s="6" t="s">
        <v>186</v>
      </c>
      <c r="F17" s="6" t="s">
        <v>187</v>
      </c>
      <c r="G17" s="6" t="s">
        <v>146</v>
      </c>
      <c r="H17" s="7" t="s">
        <v>43</v>
      </c>
      <c r="I17" s="8" t="s">
        <v>8</v>
      </c>
      <c r="J17" s="6"/>
    </row>
    <row r="18" spans="1:10" ht="111.95" customHeight="1" x14ac:dyDescent="0.25">
      <c r="A18" s="5" t="s">
        <v>188</v>
      </c>
      <c r="B18" s="6" t="s">
        <v>189</v>
      </c>
      <c r="C18" s="6" t="s">
        <v>38</v>
      </c>
      <c r="D18" s="6" t="s">
        <v>190</v>
      </c>
      <c r="E18" s="6" t="s">
        <v>191</v>
      </c>
      <c r="F18" s="6" t="s">
        <v>192</v>
      </c>
      <c r="G18" s="6" t="s">
        <v>146</v>
      </c>
      <c r="H18" s="7" t="s">
        <v>43</v>
      </c>
      <c r="I18" s="8" t="s">
        <v>8</v>
      </c>
      <c r="J18" s="6" t="s">
        <v>193</v>
      </c>
    </row>
    <row r="19" spans="1:10" ht="111.95" customHeight="1" x14ac:dyDescent="0.25">
      <c r="A19" s="5" t="s">
        <v>194</v>
      </c>
      <c r="B19" s="6" t="s">
        <v>195</v>
      </c>
      <c r="C19" s="6" t="s">
        <v>38</v>
      </c>
      <c r="D19" s="6" t="s">
        <v>196</v>
      </c>
      <c r="E19" s="6" t="s">
        <v>197</v>
      </c>
      <c r="F19" s="6" t="s">
        <v>198</v>
      </c>
      <c r="G19" s="6" t="s">
        <v>146</v>
      </c>
      <c r="H19" s="7" t="s">
        <v>43</v>
      </c>
      <c r="I19" s="8" t="s">
        <v>8</v>
      </c>
      <c r="J19" s="6"/>
    </row>
    <row r="20" spans="1:10" ht="21.95" customHeight="1" x14ac:dyDescent="0.25">
      <c r="A20" s="19" t="s">
        <v>199</v>
      </c>
      <c r="B20" s="10"/>
      <c r="C20" s="10"/>
      <c r="D20" s="10"/>
      <c r="E20" s="10"/>
      <c r="F20" s="10"/>
      <c r="G20" s="10"/>
      <c r="H20" s="10"/>
      <c r="I20" s="10"/>
      <c r="J20" s="10"/>
    </row>
    <row r="21" spans="1:10" ht="111.95" customHeight="1" x14ac:dyDescent="0.25">
      <c r="A21" s="5" t="s">
        <v>200</v>
      </c>
      <c r="B21" s="6" t="s">
        <v>201</v>
      </c>
      <c r="C21" s="6" t="s">
        <v>38</v>
      </c>
      <c r="D21" s="6" t="s">
        <v>202</v>
      </c>
      <c r="E21" s="6" t="s">
        <v>203</v>
      </c>
      <c r="F21" s="6" t="s">
        <v>204</v>
      </c>
      <c r="G21" s="6" t="s">
        <v>146</v>
      </c>
      <c r="H21" s="7" t="s">
        <v>43</v>
      </c>
      <c r="I21" s="8" t="s">
        <v>8</v>
      </c>
      <c r="J21" s="6"/>
    </row>
    <row r="22" spans="1:10" ht="111.95" customHeight="1" x14ac:dyDescent="0.25">
      <c r="A22" s="5" t="s">
        <v>205</v>
      </c>
      <c r="B22" s="6" t="s">
        <v>206</v>
      </c>
      <c r="C22" s="6" t="s">
        <v>38</v>
      </c>
      <c r="D22" s="6" t="s">
        <v>207</v>
      </c>
      <c r="E22" s="6" t="s">
        <v>208</v>
      </c>
      <c r="F22" s="6" t="s">
        <v>209</v>
      </c>
      <c r="G22" s="6" t="s">
        <v>146</v>
      </c>
      <c r="H22" s="7" t="s">
        <v>43</v>
      </c>
      <c r="I22" s="8" t="s">
        <v>8</v>
      </c>
      <c r="J22" s="6"/>
    </row>
    <row r="23" spans="1:10" ht="111.95" customHeight="1" x14ac:dyDescent="0.25">
      <c r="A23" s="5" t="s">
        <v>210</v>
      </c>
      <c r="B23" s="6" t="s">
        <v>211</v>
      </c>
      <c r="C23" s="6" t="s">
        <v>38</v>
      </c>
      <c r="D23" s="6" t="s">
        <v>212</v>
      </c>
      <c r="E23" s="6" t="s">
        <v>213</v>
      </c>
      <c r="F23" s="6" t="s">
        <v>214</v>
      </c>
      <c r="G23" s="6" t="s">
        <v>146</v>
      </c>
      <c r="H23" s="7" t="s">
        <v>43</v>
      </c>
      <c r="I23" s="8" t="s">
        <v>8</v>
      </c>
      <c r="J23" s="6"/>
    </row>
    <row r="24" spans="1:10" ht="111.95" customHeight="1" x14ac:dyDescent="0.25">
      <c r="A24" s="5" t="s">
        <v>215</v>
      </c>
      <c r="B24" s="6" t="s">
        <v>216</v>
      </c>
      <c r="C24" s="6" t="s">
        <v>38</v>
      </c>
      <c r="D24" s="6" t="s">
        <v>217</v>
      </c>
      <c r="E24" s="6" t="s">
        <v>218</v>
      </c>
      <c r="F24" s="6" t="s">
        <v>219</v>
      </c>
      <c r="G24" s="6" t="s">
        <v>146</v>
      </c>
      <c r="H24" s="7" t="s">
        <v>43</v>
      </c>
      <c r="I24" s="8" t="s">
        <v>8</v>
      </c>
      <c r="J24" s="6"/>
    </row>
    <row r="25" spans="1:10" ht="111.95" customHeight="1" x14ac:dyDescent="0.25">
      <c r="A25" s="5" t="s">
        <v>220</v>
      </c>
      <c r="B25" s="6" t="s">
        <v>221</v>
      </c>
      <c r="C25" s="6" t="s">
        <v>38</v>
      </c>
      <c r="D25" s="6" t="s">
        <v>222</v>
      </c>
      <c r="E25" s="6" t="s">
        <v>223</v>
      </c>
      <c r="F25" s="6" t="s">
        <v>224</v>
      </c>
      <c r="G25" s="6" t="s">
        <v>146</v>
      </c>
      <c r="H25" s="7" t="s">
        <v>43</v>
      </c>
      <c r="I25" s="8" t="s">
        <v>8</v>
      </c>
      <c r="J25" s="6"/>
    </row>
    <row r="26" spans="1:10" ht="111.95" customHeight="1" x14ac:dyDescent="0.25">
      <c r="A26" s="5" t="s">
        <v>225</v>
      </c>
      <c r="B26" s="6" t="s">
        <v>226</v>
      </c>
      <c r="C26" s="6" t="s">
        <v>38</v>
      </c>
      <c r="D26" s="6" t="s">
        <v>227</v>
      </c>
      <c r="E26" s="6" t="s">
        <v>228</v>
      </c>
      <c r="F26" s="6" t="s">
        <v>229</v>
      </c>
      <c r="G26" s="6" t="s">
        <v>146</v>
      </c>
      <c r="H26" s="7" t="s">
        <v>43</v>
      </c>
      <c r="I26" s="8" t="s">
        <v>8</v>
      </c>
      <c r="J26" s="6"/>
    </row>
    <row r="27" spans="1:10" ht="111.95" customHeight="1" x14ac:dyDescent="0.25">
      <c r="A27" s="5" t="s">
        <v>230</v>
      </c>
      <c r="B27" s="6" t="s">
        <v>231</v>
      </c>
      <c r="C27" s="6" t="s">
        <v>38</v>
      </c>
      <c r="D27" s="6" t="s">
        <v>232</v>
      </c>
      <c r="E27" s="6" t="s">
        <v>233</v>
      </c>
      <c r="F27" s="6" t="s">
        <v>234</v>
      </c>
      <c r="G27" s="6" t="s">
        <v>146</v>
      </c>
      <c r="H27" s="7" t="s">
        <v>43</v>
      </c>
      <c r="I27" s="8" t="s">
        <v>8</v>
      </c>
      <c r="J27" s="6"/>
    </row>
    <row r="28" spans="1:10" ht="111.95" customHeight="1" x14ac:dyDescent="0.25">
      <c r="A28" s="5" t="s">
        <v>235</v>
      </c>
      <c r="B28" s="6" t="s">
        <v>236</v>
      </c>
      <c r="C28" s="6" t="s">
        <v>38</v>
      </c>
      <c r="D28" s="6" t="s">
        <v>237</v>
      </c>
      <c r="E28" s="6" t="s">
        <v>238</v>
      </c>
      <c r="F28" s="6" t="s">
        <v>239</v>
      </c>
      <c r="G28" s="6" t="s">
        <v>146</v>
      </c>
      <c r="H28" s="7" t="s">
        <v>43</v>
      </c>
      <c r="I28" s="8" t="s">
        <v>8</v>
      </c>
      <c r="J28" s="6"/>
    </row>
    <row r="29" spans="1:10" ht="21.95" customHeight="1" x14ac:dyDescent="0.25">
      <c r="A29" s="18" t="s">
        <v>240</v>
      </c>
      <c r="B29" s="10"/>
      <c r="C29" s="10"/>
      <c r="D29" s="10"/>
      <c r="E29" s="10"/>
      <c r="F29" s="10"/>
      <c r="G29" s="10"/>
      <c r="H29" s="10"/>
      <c r="I29" s="10"/>
      <c r="J29" s="10"/>
    </row>
    <row r="30" spans="1:10" ht="111.95" customHeight="1" x14ac:dyDescent="0.25">
      <c r="A30" s="5" t="s">
        <v>241</v>
      </c>
      <c r="B30" s="6" t="s">
        <v>242</v>
      </c>
      <c r="C30" s="6" t="s">
        <v>38</v>
      </c>
      <c r="D30" s="6" t="s">
        <v>243</v>
      </c>
      <c r="E30" s="6" t="s">
        <v>244</v>
      </c>
      <c r="F30" s="6" t="s">
        <v>245</v>
      </c>
      <c r="G30" s="6" t="s">
        <v>146</v>
      </c>
      <c r="H30" s="7" t="s">
        <v>43</v>
      </c>
      <c r="I30" s="8" t="s">
        <v>8</v>
      </c>
      <c r="J30" s="6"/>
    </row>
  </sheetData>
  <autoFilter ref="A6:J30" xr:uid="{00000000-0009-0000-0000-000002000000}"/>
  <mergeCells count="8">
    <mergeCell ref="A20:J20"/>
    <mergeCell ref="A29:J29"/>
    <mergeCell ref="A13:J13"/>
    <mergeCell ref="A1:J1"/>
    <mergeCell ref="A2:B3"/>
    <mergeCell ref="C2:J3"/>
    <mergeCell ref="A4:J4"/>
    <mergeCell ref="A7:J7"/>
  </mergeCells>
  <conditionalFormatting sqref="I7:I30">
    <cfRule type="expression" dxfId="14" priority="1">
      <formula>ISNUMBER(SEARCH("Passed",I7))</formula>
    </cfRule>
    <cfRule type="expression" dxfId="13" priority="2">
      <formula>ISNUMBER(SEARCH("Failed",I7))</formula>
    </cfRule>
    <cfRule type="expression" dxfId="12" priority="3">
      <formula>ISNUMBER(SEARCH("Blocked",I7))</formula>
    </cfRule>
    <cfRule type="expression" dxfId="11" priority="4">
      <formula>ISNUMBER(SEARCH("In Progress",I7))</formula>
    </cfRule>
    <cfRule type="expression" dxfId="10" priority="5">
      <formula>ISNUMBER(SEARCH("Not Applicable",I7))</formula>
    </cfRule>
  </conditionalFormatting>
  <dataValidations count="2">
    <dataValidation type="list" allowBlank="1" sqref="H8:H12 H14:H19 H21:H28 H30" xr:uid="{00000000-0002-0000-0200-000000000000}">
      <formula1>"Yes,No,Partial,Planned,TBD"</formula1>
    </dataValidation>
    <dataValidation type="list" allowBlank="1" sqref="I8:I12 I14:I19 I21:I28 I30" xr:uid="{00000000-0002-0000-0200-000001000000}">
      <formula1>"Not Executed,In Progress,Passed,Failed,Blocked,Not Applicable"</formula1>
    </dataValidation>
  </dataValidations>
  <pageMargins left="0.75" right="0.75" top="1" bottom="1" header="0.5" footer="0.5"/>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J33"/>
  <sheetViews>
    <sheetView showGridLines="0" workbookViewId="0">
      <pane ySplit="6" topLeftCell="A31" activePane="bottomLeft" state="frozen"/>
      <selection pane="bottomLeft" activeCell="B16" sqref="B16"/>
    </sheetView>
  </sheetViews>
  <sheetFormatPr defaultRowHeight="15" x14ac:dyDescent="0.25"/>
  <cols>
    <col min="1" max="1" width="18" customWidth="1"/>
    <col min="2" max="2" width="40" customWidth="1"/>
    <col min="3" max="3" width="38" customWidth="1"/>
    <col min="4" max="4" width="34" customWidth="1"/>
    <col min="5" max="5" width="58" customWidth="1"/>
    <col min="6" max="6" width="48" customWidth="1"/>
    <col min="7" max="7" width="36" customWidth="1"/>
    <col min="8" max="8" width="15" customWidth="1"/>
    <col min="9" max="9" width="16" customWidth="1"/>
    <col min="10" max="10" width="38" customWidth="1"/>
  </cols>
  <sheetData>
    <row r="1" spans="1:10" ht="26.1" customHeight="1" x14ac:dyDescent="0.25">
      <c r="A1" s="13" t="s">
        <v>13</v>
      </c>
      <c r="B1" s="10"/>
      <c r="C1" s="10"/>
      <c r="D1" s="10"/>
      <c r="E1" s="10"/>
      <c r="F1" s="10"/>
      <c r="G1" s="10"/>
      <c r="H1" s="10"/>
      <c r="I1" s="10"/>
      <c r="J1" s="10"/>
    </row>
    <row r="2" spans="1:10" ht="42" customHeight="1" x14ac:dyDescent="0.25">
      <c r="A2" s="14" t="s">
        <v>22</v>
      </c>
      <c r="B2" s="10"/>
      <c r="C2" s="11" t="s">
        <v>23</v>
      </c>
      <c r="D2" s="10"/>
      <c r="E2" s="10"/>
      <c r="F2" s="10"/>
      <c r="G2" s="10"/>
      <c r="H2" s="10"/>
      <c r="I2" s="10"/>
      <c r="J2" s="10"/>
    </row>
    <row r="3" spans="1:10" ht="42" customHeight="1" x14ac:dyDescent="0.25">
      <c r="A3" s="10"/>
      <c r="B3" s="10"/>
      <c r="C3" s="10"/>
      <c r="D3" s="10"/>
      <c r="E3" s="10"/>
      <c r="F3" s="10"/>
      <c r="G3" s="10"/>
      <c r="H3" s="10"/>
      <c r="I3" s="10"/>
      <c r="J3" s="10"/>
    </row>
    <row r="4" spans="1:10" ht="27.95" customHeight="1" x14ac:dyDescent="0.25">
      <c r="A4" s="15" t="s">
        <v>246</v>
      </c>
      <c r="B4" s="10"/>
      <c r="C4" s="10"/>
      <c r="D4" s="10"/>
      <c r="E4" s="10"/>
      <c r="F4" s="10"/>
      <c r="G4" s="10"/>
      <c r="H4" s="10"/>
      <c r="I4" s="10"/>
      <c r="J4" s="10"/>
    </row>
    <row r="6" spans="1:10" ht="33.950000000000003" customHeight="1" x14ac:dyDescent="0.25">
      <c r="A6" s="1" t="s">
        <v>25</v>
      </c>
      <c r="B6" s="1" t="s">
        <v>26</v>
      </c>
      <c r="C6" s="1" t="s">
        <v>27</v>
      </c>
      <c r="D6" s="1" t="s">
        <v>28</v>
      </c>
      <c r="E6" s="1" t="s">
        <v>29</v>
      </c>
      <c r="F6" s="1" t="s">
        <v>30</v>
      </c>
      <c r="G6" s="1" t="s">
        <v>31</v>
      </c>
      <c r="H6" s="1" t="s">
        <v>32</v>
      </c>
      <c r="I6" s="1" t="s">
        <v>33</v>
      </c>
      <c r="J6" s="1" t="s">
        <v>34</v>
      </c>
    </row>
    <row r="7" spans="1:10" ht="21.95" customHeight="1" x14ac:dyDescent="0.25">
      <c r="A7" s="16" t="s">
        <v>247</v>
      </c>
      <c r="B7" s="10"/>
      <c r="C7" s="10"/>
      <c r="D7" s="10"/>
      <c r="E7" s="10"/>
      <c r="F7" s="10"/>
      <c r="G7" s="10"/>
      <c r="H7" s="10"/>
      <c r="I7" s="10"/>
      <c r="J7" s="10"/>
    </row>
    <row r="8" spans="1:10" ht="111.95" customHeight="1" x14ac:dyDescent="0.25">
      <c r="A8" s="5" t="s">
        <v>248</v>
      </c>
      <c r="B8" s="6" t="s">
        <v>249</v>
      </c>
      <c r="C8" s="6" t="s">
        <v>38</v>
      </c>
      <c r="D8" s="6" t="s">
        <v>250</v>
      </c>
      <c r="E8" s="6" t="s">
        <v>251</v>
      </c>
      <c r="F8" s="6" t="s">
        <v>252</v>
      </c>
      <c r="G8" s="6" t="s">
        <v>253</v>
      </c>
      <c r="H8" s="7" t="s">
        <v>43</v>
      </c>
      <c r="I8" s="8" t="s">
        <v>8</v>
      </c>
      <c r="J8" s="6"/>
    </row>
    <row r="9" spans="1:10" ht="111.95" customHeight="1" x14ac:dyDescent="0.25">
      <c r="A9" s="5" t="s">
        <v>254</v>
      </c>
      <c r="B9" s="6" t="s">
        <v>255</v>
      </c>
      <c r="C9" s="6" t="s">
        <v>38</v>
      </c>
      <c r="D9" s="6" t="s">
        <v>256</v>
      </c>
      <c r="E9" s="6" t="s">
        <v>257</v>
      </c>
      <c r="F9" s="6" t="s">
        <v>258</v>
      </c>
      <c r="G9" s="6" t="s">
        <v>253</v>
      </c>
      <c r="H9" s="7" t="s">
        <v>43</v>
      </c>
      <c r="I9" s="8" t="s">
        <v>8</v>
      </c>
      <c r="J9" s="6"/>
    </row>
    <row r="10" spans="1:10" ht="111.95" customHeight="1" x14ac:dyDescent="0.25">
      <c r="A10" s="5" t="s">
        <v>259</v>
      </c>
      <c r="B10" s="6" t="s">
        <v>260</v>
      </c>
      <c r="C10" s="6" t="s">
        <v>38</v>
      </c>
      <c r="D10" s="6" t="s">
        <v>261</v>
      </c>
      <c r="E10" s="6" t="s">
        <v>262</v>
      </c>
      <c r="F10" s="6" t="s">
        <v>263</v>
      </c>
      <c r="G10" s="6" t="s">
        <v>253</v>
      </c>
      <c r="H10" s="7" t="s">
        <v>43</v>
      </c>
      <c r="I10" s="8" t="s">
        <v>8</v>
      </c>
      <c r="J10" s="6"/>
    </row>
    <row r="11" spans="1:10" ht="111.95" customHeight="1" x14ac:dyDescent="0.25">
      <c r="A11" s="5" t="s">
        <v>264</v>
      </c>
      <c r="B11" s="6" t="s">
        <v>265</v>
      </c>
      <c r="C11" s="6" t="s">
        <v>38</v>
      </c>
      <c r="D11" s="6" t="s">
        <v>266</v>
      </c>
      <c r="E11" s="6" t="s">
        <v>267</v>
      </c>
      <c r="F11" s="6" t="s">
        <v>268</v>
      </c>
      <c r="G11" s="6" t="s">
        <v>253</v>
      </c>
      <c r="H11" s="7" t="s">
        <v>43</v>
      </c>
      <c r="I11" s="8" t="s">
        <v>8</v>
      </c>
      <c r="J11" s="6"/>
    </row>
    <row r="12" spans="1:10" ht="111.95" customHeight="1" x14ac:dyDescent="0.25">
      <c r="A12" s="5" t="s">
        <v>269</v>
      </c>
      <c r="B12" s="6" t="s">
        <v>270</v>
      </c>
      <c r="C12" s="6" t="s">
        <v>38</v>
      </c>
      <c r="D12" s="6" t="s">
        <v>271</v>
      </c>
      <c r="E12" s="6" t="s">
        <v>272</v>
      </c>
      <c r="F12" s="6" t="s">
        <v>273</v>
      </c>
      <c r="G12" s="6" t="s">
        <v>253</v>
      </c>
      <c r="H12" s="7" t="s">
        <v>43</v>
      </c>
      <c r="I12" s="8" t="s">
        <v>8</v>
      </c>
      <c r="J12" s="6"/>
    </row>
    <row r="13" spans="1:10" ht="111.95" customHeight="1" x14ac:dyDescent="0.25">
      <c r="A13" s="5" t="s">
        <v>274</v>
      </c>
      <c r="B13" s="6" t="s">
        <v>275</v>
      </c>
      <c r="C13" s="6" t="s">
        <v>38</v>
      </c>
      <c r="D13" s="6" t="s">
        <v>276</v>
      </c>
      <c r="E13" s="6" t="s">
        <v>277</v>
      </c>
      <c r="F13" s="6" t="s">
        <v>278</v>
      </c>
      <c r="G13" s="6" t="s">
        <v>253</v>
      </c>
      <c r="H13" s="7" t="s">
        <v>43</v>
      </c>
      <c r="I13" s="8" t="s">
        <v>8</v>
      </c>
      <c r="J13" s="6"/>
    </row>
    <row r="14" spans="1:10" ht="111.95" customHeight="1" x14ac:dyDescent="0.25">
      <c r="A14" s="5" t="s">
        <v>279</v>
      </c>
      <c r="B14" s="6" t="s">
        <v>280</v>
      </c>
      <c r="C14" s="6" t="s">
        <v>38</v>
      </c>
      <c r="D14" s="6" t="s">
        <v>281</v>
      </c>
      <c r="E14" s="6" t="s">
        <v>282</v>
      </c>
      <c r="F14" s="6" t="s">
        <v>283</v>
      </c>
      <c r="G14" s="6" t="s">
        <v>253</v>
      </c>
      <c r="H14" s="7" t="s">
        <v>43</v>
      </c>
      <c r="I14" s="8" t="s">
        <v>8</v>
      </c>
      <c r="J14" s="6"/>
    </row>
    <row r="15" spans="1:10" ht="21.95" customHeight="1" x14ac:dyDescent="0.25">
      <c r="A15" s="17" t="s">
        <v>284</v>
      </c>
      <c r="B15" s="10"/>
      <c r="C15" s="10"/>
      <c r="D15" s="10"/>
      <c r="E15" s="10"/>
      <c r="F15" s="10"/>
      <c r="G15" s="10"/>
      <c r="H15" s="10"/>
      <c r="I15" s="10"/>
      <c r="J15" s="10"/>
    </row>
    <row r="16" spans="1:10" ht="111.95" customHeight="1" x14ac:dyDescent="0.25">
      <c r="A16" s="5" t="s">
        <v>285</v>
      </c>
      <c r="B16" s="6" t="s">
        <v>286</v>
      </c>
      <c r="C16" s="6" t="s">
        <v>38</v>
      </c>
      <c r="D16" s="6" t="s">
        <v>256</v>
      </c>
      <c r="E16" s="6" t="s">
        <v>287</v>
      </c>
      <c r="F16" s="6" t="s">
        <v>288</v>
      </c>
      <c r="G16" s="6" t="s">
        <v>253</v>
      </c>
      <c r="H16" s="7" t="s">
        <v>43</v>
      </c>
      <c r="I16" s="8" t="s">
        <v>8</v>
      </c>
      <c r="J16" s="6"/>
    </row>
    <row r="17" spans="1:10" ht="111.95" customHeight="1" x14ac:dyDescent="0.25">
      <c r="A17" s="5" t="s">
        <v>289</v>
      </c>
      <c r="B17" s="6" t="s">
        <v>290</v>
      </c>
      <c r="C17" s="6" t="s">
        <v>38</v>
      </c>
      <c r="D17" s="6" t="s">
        <v>291</v>
      </c>
      <c r="E17" s="6" t="s">
        <v>292</v>
      </c>
      <c r="F17" s="6" t="s">
        <v>293</v>
      </c>
      <c r="G17" s="6" t="s">
        <v>253</v>
      </c>
      <c r="H17" s="7" t="s">
        <v>43</v>
      </c>
      <c r="I17" s="8" t="s">
        <v>8</v>
      </c>
      <c r="J17" s="6"/>
    </row>
    <row r="18" spans="1:10" ht="111.95" customHeight="1" x14ac:dyDescent="0.25">
      <c r="A18" s="5" t="s">
        <v>294</v>
      </c>
      <c r="B18" s="6" t="s">
        <v>295</v>
      </c>
      <c r="C18" s="6" t="s">
        <v>38</v>
      </c>
      <c r="D18" s="6" t="s">
        <v>296</v>
      </c>
      <c r="E18" s="6" t="s">
        <v>297</v>
      </c>
      <c r="F18" s="6" t="s">
        <v>298</v>
      </c>
      <c r="G18" s="6" t="s">
        <v>253</v>
      </c>
      <c r="H18" s="7" t="s">
        <v>43</v>
      </c>
      <c r="I18" s="8" t="s">
        <v>8</v>
      </c>
      <c r="J18" s="6"/>
    </row>
    <row r="19" spans="1:10" ht="111.95" customHeight="1" x14ac:dyDescent="0.25">
      <c r="A19" s="5" t="s">
        <v>299</v>
      </c>
      <c r="B19" s="6" t="s">
        <v>300</v>
      </c>
      <c r="C19" s="6" t="s">
        <v>38</v>
      </c>
      <c r="D19" s="6" t="s">
        <v>301</v>
      </c>
      <c r="E19" s="6" t="s">
        <v>302</v>
      </c>
      <c r="F19" s="6" t="s">
        <v>303</v>
      </c>
      <c r="G19" s="6" t="s">
        <v>253</v>
      </c>
      <c r="H19" s="7" t="s">
        <v>43</v>
      </c>
      <c r="I19" s="8" t="s">
        <v>8</v>
      </c>
      <c r="J19" s="6"/>
    </row>
    <row r="20" spans="1:10" ht="111.95" customHeight="1" x14ac:dyDescent="0.25">
      <c r="A20" s="5" t="s">
        <v>304</v>
      </c>
      <c r="B20" s="6" t="s">
        <v>305</v>
      </c>
      <c r="C20" s="6" t="s">
        <v>38</v>
      </c>
      <c r="D20" s="6" t="s">
        <v>306</v>
      </c>
      <c r="E20" s="6" t="s">
        <v>307</v>
      </c>
      <c r="F20" s="6" t="s">
        <v>308</v>
      </c>
      <c r="G20" s="6" t="s">
        <v>253</v>
      </c>
      <c r="H20" s="7" t="s">
        <v>43</v>
      </c>
      <c r="I20" s="8" t="s">
        <v>8</v>
      </c>
      <c r="J20" s="6"/>
    </row>
    <row r="21" spans="1:10" ht="111.95" customHeight="1" x14ac:dyDescent="0.25">
      <c r="A21" s="5" t="s">
        <v>309</v>
      </c>
      <c r="B21" s="6" t="s">
        <v>310</v>
      </c>
      <c r="C21" s="6" t="s">
        <v>38</v>
      </c>
      <c r="D21" s="6" t="s">
        <v>311</v>
      </c>
      <c r="E21" s="6" t="s">
        <v>312</v>
      </c>
      <c r="F21" s="6" t="s">
        <v>313</v>
      </c>
      <c r="G21" s="6" t="s">
        <v>253</v>
      </c>
      <c r="H21" s="7" t="s">
        <v>43</v>
      </c>
      <c r="I21" s="8" t="s">
        <v>8</v>
      </c>
      <c r="J21" s="6"/>
    </row>
    <row r="22" spans="1:10" ht="111.95" customHeight="1" x14ac:dyDescent="0.25">
      <c r="A22" s="5" t="s">
        <v>314</v>
      </c>
      <c r="B22" s="6" t="s">
        <v>315</v>
      </c>
      <c r="C22" s="6" t="s">
        <v>38</v>
      </c>
      <c r="D22" s="6" t="s">
        <v>316</v>
      </c>
      <c r="E22" s="6" t="s">
        <v>317</v>
      </c>
      <c r="F22" s="6" t="s">
        <v>318</v>
      </c>
      <c r="G22" s="6" t="s">
        <v>253</v>
      </c>
      <c r="H22" s="7" t="s">
        <v>43</v>
      </c>
      <c r="I22" s="8" t="s">
        <v>8</v>
      </c>
      <c r="J22" s="6"/>
    </row>
    <row r="23" spans="1:10" ht="111.95" customHeight="1" x14ac:dyDescent="0.25">
      <c r="A23" s="5" t="s">
        <v>319</v>
      </c>
      <c r="B23" s="6" t="s">
        <v>320</v>
      </c>
      <c r="C23" s="6" t="s">
        <v>38</v>
      </c>
      <c r="D23" s="6" t="s">
        <v>321</v>
      </c>
      <c r="E23" s="6" t="s">
        <v>322</v>
      </c>
      <c r="F23" s="6" t="s">
        <v>323</v>
      </c>
      <c r="G23" s="6" t="s">
        <v>253</v>
      </c>
      <c r="H23" s="7" t="s">
        <v>43</v>
      </c>
      <c r="I23" s="8" t="s">
        <v>8</v>
      </c>
      <c r="J23" s="6"/>
    </row>
    <row r="24" spans="1:10" ht="21.95" customHeight="1" x14ac:dyDescent="0.25">
      <c r="A24" s="19" t="s">
        <v>324</v>
      </c>
      <c r="B24" s="10"/>
      <c r="C24" s="10"/>
      <c r="D24" s="10"/>
      <c r="E24" s="10"/>
      <c r="F24" s="10"/>
      <c r="G24" s="10"/>
      <c r="H24" s="10"/>
      <c r="I24" s="10"/>
      <c r="J24" s="10"/>
    </row>
    <row r="25" spans="1:10" ht="111.95" customHeight="1" x14ac:dyDescent="0.25">
      <c r="A25" s="5" t="s">
        <v>325</v>
      </c>
      <c r="B25" s="6" t="s">
        <v>326</v>
      </c>
      <c r="C25" s="6" t="s">
        <v>38</v>
      </c>
      <c r="D25" s="6" t="s">
        <v>327</v>
      </c>
      <c r="E25" s="6" t="s">
        <v>328</v>
      </c>
      <c r="F25" s="6" t="s">
        <v>329</v>
      </c>
      <c r="G25" s="6" t="s">
        <v>253</v>
      </c>
      <c r="H25" s="7" t="s">
        <v>43</v>
      </c>
      <c r="I25" s="8" t="s">
        <v>8</v>
      </c>
      <c r="J25" s="6"/>
    </row>
    <row r="26" spans="1:10" ht="111.95" customHeight="1" x14ac:dyDescent="0.25">
      <c r="A26" s="5" t="s">
        <v>330</v>
      </c>
      <c r="B26" s="6" t="s">
        <v>331</v>
      </c>
      <c r="C26" s="6" t="s">
        <v>38</v>
      </c>
      <c r="D26" s="6" t="s">
        <v>332</v>
      </c>
      <c r="E26" s="6" t="s">
        <v>333</v>
      </c>
      <c r="F26" s="6" t="s">
        <v>334</v>
      </c>
      <c r="G26" s="6" t="s">
        <v>253</v>
      </c>
      <c r="H26" s="7" t="s">
        <v>43</v>
      </c>
      <c r="I26" s="8" t="s">
        <v>8</v>
      </c>
      <c r="J26" s="6"/>
    </row>
    <row r="27" spans="1:10" ht="111.95" customHeight="1" x14ac:dyDescent="0.25">
      <c r="A27" s="5" t="s">
        <v>335</v>
      </c>
      <c r="B27" s="6" t="s">
        <v>336</v>
      </c>
      <c r="C27" s="6" t="s">
        <v>38</v>
      </c>
      <c r="D27" s="6" t="s">
        <v>337</v>
      </c>
      <c r="E27" s="6" t="s">
        <v>338</v>
      </c>
      <c r="F27" s="6" t="s">
        <v>339</v>
      </c>
      <c r="G27" s="6" t="s">
        <v>253</v>
      </c>
      <c r="H27" s="7" t="s">
        <v>43</v>
      </c>
      <c r="I27" s="8" t="s">
        <v>8</v>
      </c>
      <c r="J27" s="6"/>
    </row>
    <row r="28" spans="1:10" ht="111.95" customHeight="1" x14ac:dyDescent="0.25">
      <c r="A28" s="5" t="s">
        <v>340</v>
      </c>
      <c r="B28" s="6" t="s">
        <v>341</v>
      </c>
      <c r="C28" s="6" t="s">
        <v>38</v>
      </c>
      <c r="D28" s="6" t="s">
        <v>342</v>
      </c>
      <c r="E28" s="6" t="s">
        <v>343</v>
      </c>
      <c r="F28" s="6" t="s">
        <v>344</v>
      </c>
      <c r="G28" s="6" t="s">
        <v>253</v>
      </c>
      <c r="H28" s="7" t="s">
        <v>43</v>
      </c>
      <c r="I28" s="8" t="s">
        <v>8</v>
      </c>
      <c r="J28" s="6"/>
    </row>
    <row r="29" spans="1:10" ht="21.95" customHeight="1" x14ac:dyDescent="0.25">
      <c r="A29" s="18" t="s">
        <v>345</v>
      </c>
      <c r="B29" s="10"/>
      <c r="C29" s="10"/>
      <c r="D29" s="10"/>
      <c r="E29" s="10"/>
      <c r="F29" s="10"/>
      <c r="G29" s="10"/>
      <c r="H29" s="10"/>
      <c r="I29" s="10"/>
      <c r="J29" s="10"/>
    </row>
    <row r="30" spans="1:10" ht="111.95" customHeight="1" x14ac:dyDescent="0.25">
      <c r="A30" s="5" t="s">
        <v>346</v>
      </c>
      <c r="B30" s="6" t="s">
        <v>347</v>
      </c>
      <c r="C30" s="6" t="s">
        <v>38</v>
      </c>
      <c r="D30" s="6" t="s">
        <v>348</v>
      </c>
      <c r="E30" s="6" t="s">
        <v>349</v>
      </c>
      <c r="F30" s="6" t="s">
        <v>350</v>
      </c>
      <c r="G30" s="6" t="s">
        <v>253</v>
      </c>
      <c r="H30" s="7" t="s">
        <v>43</v>
      </c>
      <c r="I30" s="8" t="s">
        <v>8</v>
      </c>
      <c r="J30" s="6" t="s">
        <v>351</v>
      </c>
    </row>
    <row r="31" spans="1:10" ht="111.95" customHeight="1" x14ac:dyDescent="0.25">
      <c r="A31" s="5" t="s">
        <v>352</v>
      </c>
      <c r="B31" s="6" t="s">
        <v>353</v>
      </c>
      <c r="C31" s="6" t="s">
        <v>38</v>
      </c>
      <c r="D31" s="6" t="s">
        <v>256</v>
      </c>
      <c r="E31" s="6" t="s">
        <v>354</v>
      </c>
      <c r="F31" s="6" t="s">
        <v>355</v>
      </c>
      <c r="G31" s="6" t="s">
        <v>253</v>
      </c>
      <c r="H31" s="7" t="s">
        <v>43</v>
      </c>
      <c r="I31" s="8" t="s">
        <v>8</v>
      </c>
      <c r="J31" s="6"/>
    </row>
    <row r="32" spans="1:10" ht="21.95" customHeight="1" x14ac:dyDescent="0.25">
      <c r="A32" s="20" t="s">
        <v>356</v>
      </c>
      <c r="B32" s="10"/>
      <c r="C32" s="10"/>
      <c r="D32" s="10"/>
      <c r="E32" s="10"/>
      <c r="F32" s="10"/>
      <c r="G32" s="10"/>
      <c r="H32" s="10"/>
      <c r="I32" s="10"/>
      <c r="J32" s="10"/>
    </row>
    <row r="33" spans="1:10" ht="111.95" customHeight="1" x14ac:dyDescent="0.25">
      <c r="A33" s="5" t="s">
        <v>357</v>
      </c>
      <c r="B33" s="6" t="s">
        <v>358</v>
      </c>
      <c r="C33" s="6" t="s">
        <v>38</v>
      </c>
      <c r="D33" s="6" t="s">
        <v>359</v>
      </c>
      <c r="E33" s="6" t="s">
        <v>360</v>
      </c>
      <c r="F33" s="6" t="s">
        <v>361</v>
      </c>
      <c r="G33" s="6" t="s">
        <v>253</v>
      </c>
      <c r="H33" s="7" t="s">
        <v>43</v>
      </c>
      <c r="I33" s="8" t="s">
        <v>8</v>
      </c>
      <c r="J33" s="6"/>
    </row>
  </sheetData>
  <autoFilter ref="A6:J33" xr:uid="{00000000-0009-0000-0000-000003000000}"/>
  <mergeCells count="9">
    <mergeCell ref="A1:J1"/>
    <mergeCell ref="A32:J32"/>
    <mergeCell ref="A2:B3"/>
    <mergeCell ref="C2:J3"/>
    <mergeCell ref="A4:J4"/>
    <mergeCell ref="A7:J7"/>
    <mergeCell ref="A15:J15"/>
    <mergeCell ref="A24:J24"/>
    <mergeCell ref="A29:J29"/>
  </mergeCells>
  <conditionalFormatting sqref="I7:I33">
    <cfRule type="expression" dxfId="9" priority="1">
      <formula>ISNUMBER(SEARCH("Passed",I7))</formula>
    </cfRule>
    <cfRule type="expression" dxfId="8" priority="2">
      <formula>ISNUMBER(SEARCH("Failed",I7))</formula>
    </cfRule>
    <cfRule type="expression" dxfId="7" priority="3">
      <formula>ISNUMBER(SEARCH("Blocked",I7))</formula>
    </cfRule>
    <cfRule type="expression" dxfId="6" priority="4">
      <formula>ISNUMBER(SEARCH("In Progress",I7))</formula>
    </cfRule>
    <cfRule type="expression" dxfId="5" priority="5">
      <formula>ISNUMBER(SEARCH("Not Applicable",I7))</formula>
    </cfRule>
  </conditionalFormatting>
  <dataValidations count="2">
    <dataValidation type="list" allowBlank="1" sqref="H8:H14 H16:H23 H25:H28 H30:H31 H33" xr:uid="{00000000-0002-0000-0300-000000000000}">
      <formula1>"Yes,No,Partial,Planned,TBD"</formula1>
    </dataValidation>
    <dataValidation type="list" allowBlank="1" sqref="I8:I14 I16:I23 I25:I28 I30:I31 I33" xr:uid="{00000000-0002-0000-0300-000001000000}">
      <formula1>"Not Executed,In Progress,Passed,Failed,Blocked,Not Applicable"</formula1>
    </dataValidation>
  </dataValidations>
  <pageMargins left="0.75" right="0.75" top="1" bottom="1" header="0.5" footer="0.5"/>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J32"/>
  <sheetViews>
    <sheetView showGridLines="0" tabSelected="1" workbookViewId="0">
      <pane ySplit="6" topLeftCell="A29" activePane="bottomLeft" state="frozen"/>
      <selection pane="bottomLeft" activeCell="D36" sqref="D36"/>
    </sheetView>
  </sheetViews>
  <sheetFormatPr defaultRowHeight="15" x14ac:dyDescent="0.25"/>
  <cols>
    <col min="1" max="1" width="18" customWidth="1"/>
    <col min="2" max="2" width="40" customWidth="1"/>
    <col min="3" max="3" width="38" customWidth="1"/>
    <col min="4" max="4" width="34" customWidth="1"/>
    <col min="5" max="5" width="58" customWidth="1"/>
    <col min="6" max="6" width="48" customWidth="1"/>
    <col min="7" max="7" width="36" customWidth="1"/>
    <col min="8" max="8" width="15" customWidth="1"/>
    <col min="9" max="9" width="16" customWidth="1"/>
    <col min="10" max="10" width="38" customWidth="1"/>
  </cols>
  <sheetData>
    <row r="1" spans="1:10" ht="26.1" customHeight="1" x14ac:dyDescent="0.25">
      <c r="A1" s="13" t="s">
        <v>14</v>
      </c>
      <c r="B1" s="10"/>
      <c r="C1" s="10"/>
      <c r="D1" s="10"/>
      <c r="E1" s="10"/>
      <c r="F1" s="10"/>
      <c r="G1" s="10"/>
      <c r="H1" s="10"/>
      <c r="I1" s="10"/>
      <c r="J1" s="10"/>
    </row>
    <row r="2" spans="1:10" ht="42" customHeight="1" x14ac:dyDescent="0.25">
      <c r="A2" s="14" t="s">
        <v>22</v>
      </c>
      <c r="B2" s="10"/>
      <c r="C2" s="11" t="s">
        <v>23</v>
      </c>
      <c r="D2" s="10"/>
      <c r="E2" s="10"/>
      <c r="F2" s="10"/>
      <c r="G2" s="10"/>
      <c r="H2" s="10"/>
      <c r="I2" s="10"/>
      <c r="J2" s="10"/>
    </row>
    <row r="3" spans="1:10" ht="42" customHeight="1" x14ac:dyDescent="0.25">
      <c r="A3" s="10"/>
      <c r="B3" s="10"/>
      <c r="C3" s="10"/>
      <c r="D3" s="10"/>
      <c r="E3" s="10"/>
      <c r="F3" s="10"/>
      <c r="G3" s="10"/>
      <c r="H3" s="10"/>
      <c r="I3" s="10"/>
      <c r="J3" s="10"/>
    </row>
    <row r="4" spans="1:10" ht="27.95" customHeight="1" x14ac:dyDescent="0.25">
      <c r="A4" s="15" t="s">
        <v>362</v>
      </c>
      <c r="B4" s="10"/>
      <c r="C4" s="10"/>
      <c r="D4" s="10"/>
      <c r="E4" s="10"/>
      <c r="F4" s="10"/>
      <c r="G4" s="10"/>
      <c r="H4" s="10"/>
      <c r="I4" s="10"/>
      <c r="J4" s="10"/>
    </row>
    <row r="6" spans="1:10" ht="33.950000000000003" customHeight="1" x14ac:dyDescent="0.25">
      <c r="A6" s="1" t="s">
        <v>25</v>
      </c>
      <c r="B6" s="1" t="s">
        <v>26</v>
      </c>
      <c r="C6" s="1" t="s">
        <v>27</v>
      </c>
      <c r="D6" s="1" t="s">
        <v>28</v>
      </c>
      <c r="E6" s="1" t="s">
        <v>29</v>
      </c>
      <c r="F6" s="1" t="s">
        <v>30</v>
      </c>
      <c r="G6" s="1" t="s">
        <v>31</v>
      </c>
      <c r="H6" s="1" t="s">
        <v>32</v>
      </c>
      <c r="I6" s="1" t="s">
        <v>33</v>
      </c>
      <c r="J6" s="1" t="s">
        <v>34</v>
      </c>
    </row>
    <row r="7" spans="1:10" ht="21.95" customHeight="1" x14ac:dyDescent="0.25">
      <c r="A7" s="16" t="s">
        <v>363</v>
      </c>
      <c r="B7" s="10"/>
      <c r="C7" s="10"/>
      <c r="D7" s="10"/>
      <c r="E7" s="10"/>
      <c r="F7" s="10"/>
      <c r="G7" s="10"/>
      <c r="H7" s="10"/>
      <c r="I7" s="10"/>
      <c r="J7" s="10"/>
    </row>
    <row r="8" spans="1:10" ht="111.95" customHeight="1" x14ac:dyDescent="0.25">
      <c r="A8" s="5" t="s">
        <v>364</v>
      </c>
      <c r="B8" s="6" t="s">
        <v>365</v>
      </c>
      <c r="C8" s="6" t="s">
        <v>38</v>
      </c>
      <c r="D8" s="6" t="s">
        <v>366</v>
      </c>
      <c r="E8" s="6" t="s">
        <v>367</v>
      </c>
      <c r="F8" s="6" t="s">
        <v>368</v>
      </c>
      <c r="G8" s="6" t="s">
        <v>369</v>
      </c>
      <c r="H8" s="7" t="s">
        <v>43</v>
      </c>
      <c r="I8" s="8" t="s">
        <v>8</v>
      </c>
      <c r="J8" s="6"/>
    </row>
    <row r="9" spans="1:10" ht="111.95" customHeight="1" x14ac:dyDescent="0.25">
      <c r="A9" s="5" t="s">
        <v>370</v>
      </c>
      <c r="B9" s="6" t="s">
        <v>371</v>
      </c>
      <c r="C9" s="6" t="s">
        <v>38</v>
      </c>
      <c r="D9" s="6" t="s">
        <v>372</v>
      </c>
      <c r="E9" s="6" t="s">
        <v>373</v>
      </c>
      <c r="F9" s="6" t="s">
        <v>374</v>
      </c>
      <c r="G9" s="6" t="s">
        <v>369</v>
      </c>
      <c r="H9" s="7" t="s">
        <v>43</v>
      </c>
      <c r="I9" s="8" t="s">
        <v>8</v>
      </c>
      <c r="J9" s="6"/>
    </row>
    <row r="10" spans="1:10" ht="111.95" customHeight="1" x14ac:dyDescent="0.25">
      <c r="A10" s="5" t="s">
        <v>375</v>
      </c>
      <c r="B10" s="6" t="s">
        <v>376</v>
      </c>
      <c r="C10" s="6" t="s">
        <v>38</v>
      </c>
      <c r="D10" s="6" t="s">
        <v>377</v>
      </c>
      <c r="E10" s="6" t="s">
        <v>378</v>
      </c>
      <c r="F10" s="6" t="s">
        <v>379</v>
      </c>
      <c r="G10" s="6" t="s">
        <v>369</v>
      </c>
      <c r="H10" s="7" t="s">
        <v>43</v>
      </c>
      <c r="I10" s="8" t="s">
        <v>8</v>
      </c>
      <c r="J10" s="6"/>
    </row>
    <row r="11" spans="1:10" ht="111.95" customHeight="1" x14ac:dyDescent="0.25">
      <c r="A11" s="5" t="s">
        <v>380</v>
      </c>
      <c r="B11" s="6" t="s">
        <v>381</v>
      </c>
      <c r="C11" s="6" t="s">
        <v>38</v>
      </c>
      <c r="D11" s="6" t="s">
        <v>382</v>
      </c>
      <c r="E11" s="6" t="s">
        <v>383</v>
      </c>
      <c r="F11" s="6" t="s">
        <v>384</v>
      </c>
      <c r="G11" s="6" t="s">
        <v>369</v>
      </c>
      <c r="H11" s="7" t="s">
        <v>43</v>
      </c>
      <c r="I11" s="8" t="s">
        <v>8</v>
      </c>
      <c r="J11" s="6"/>
    </row>
    <row r="12" spans="1:10" ht="111.95" customHeight="1" x14ac:dyDescent="0.25">
      <c r="A12" s="5" t="s">
        <v>385</v>
      </c>
      <c r="B12" s="6" t="s">
        <v>386</v>
      </c>
      <c r="C12" s="6" t="s">
        <v>38</v>
      </c>
      <c r="D12" s="6" t="s">
        <v>387</v>
      </c>
      <c r="E12" s="6" t="s">
        <v>388</v>
      </c>
      <c r="F12" s="6" t="s">
        <v>389</v>
      </c>
      <c r="G12" s="6" t="s">
        <v>369</v>
      </c>
      <c r="H12" s="7" t="s">
        <v>43</v>
      </c>
      <c r="I12" s="8" t="s">
        <v>8</v>
      </c>
      <c r="J12" s="6"/>
    </row>
    <row r="13" spans="1:10" ht="21.95" customHeight="1" x14ac:dyDescent="0.25">
      <c r="A13" s="17" t="s">
        <v>390</v>
      </c>
      <c r="B13" s="10"/>
      <c r="C13" s="10"/>
      <c r="D13" s="10"/>
      <c r="E13" s="10"/>
      <c r="F13" s="10"/>
      <c r="G13" s="10"/>
      <c r="H13" s="10"/>
      <c r="I13" s="10"/>
      <c r="J13" s="10"/>
    </row>
    <row r="14" spans="1:10" ht="111.95" customHeight="1" x14ac:dyDescent="0.25">
      <c r="A14" s="5" t="s">
        <v>391</v>
      </c>
      <c r="B14" s="6" t="s">
        <v>392</v>
      </c>
      <c r="C14" s="6" t="s">
        <v>38</v>
      </c>
      <c r="D14" s="6" t="s">
        <v>393</v>
      </c>
      <c r="E14" s="6" t="s">
        <v>394</v>
      </c>
      <c r="F14" s="6" t="s">
        <v>395</v>
      </c>
      <c r="G14" s="6" t="s">
        <v>369</v>
      </c>
      <c r="H14" s="7" t="s">
        <v>43</v>
      </c>
      <c r="I14" s="8" t="s">
        <v>8</v>
      </c>
      <c r="J14" s="6" t="s">
        <v>396</v>
      </c>
    </row>
    <row r="15" spans="1:10" ht="111.95" customHeight="1" x14ac:dyDescent="0.25">
      <c r="A15" s="5" t="s">
        <v>397</v>
      </c>
      <c r="B15" s="6" t="s">
        <v>398</v>
      </c>
      <c r="C15" s="6" t="s">
        <v>38</v>
      </c>
      <c r="D15" s="6" t="s">
        <v>399</v>
      </c>
      <c r="E15" s="6" t="s">
        <v>394</v>
      </c>
      <c r="F15" s="6" t="s">
        <v>400</v>
      </c>
      <c r="G15" s="6" t="s">
        <v>369</v>
      </c>
      <c r="H15" s="7" t="s">
        <v>43</v>
      </c>
      <c r="I15" s="8" t="s">
        <v>8</v>
      </c>
      <c r="J15" s="6"/>
    </row>
    <row r="16" spans="1:10" ht="111.95" customHeight="1" x14ac:dyDescent="0.25">
      <c r="A16" s="5" t="s">
        <v>401</v>
      </c>
      <c r="B16" s="6" t="s">
        <v>402</v>
      </c>
      <c r="C16" s="6" t="s">
        <v>38</v>
      </c>
      <c r="D16" s="6" t="s">
        <v>403</v>
      </c>
      <c r="E16" s="6" t="s">
        <v>404</v>
      </c>
      <c r="F16" s="6" t="s">
        <v>405</v>
      </c>
      <c r="G16" s="6" t="s">
        <v>369</v>
      </c>
      <c r="H16" s="7" t="s">
        <v>43</v>
      </c>
      <c r="I16" s="8" t="s">
        <v>8</v>
      </c>
      <c r="J16" s="6"/>
    </row>
    <row r="17" spans="1:10" ht="111.95" customHeight="1" x14ac:dyDescent="0.25">
      <c r="A17" s="5" t="s">
        <v>406</v>
      </c>
      <c r="B17" s="6" t="s">
        <v>407</v>
      </c>
      <c r="C17" s="6" t="s">
        <v>38</v>
      </c>
      <c r="D17" s="6" t="s">
        <v>408</v>
      </c>
      <c r="E17" s="6" t="s">
        <v>409</v>
      </c>
      <c r="F17" s="6" t="s">
        <v>410</v>
      </c>
      <c r="G17" s="6" t="s">
        <v>369</v>
      </c>
      <c r="H17" s="7" t="s">
        <v>43</v>
      </c>
      <c r="I17" s="8" t="s">
        <v>8</v>
      </c>
      <c r="J17" s="6"/>
    </row>
    <row r="18" spans="1:10" ht="111.95" customHeight="1" x14ac:dyDescent="0.25">
      <c r="A18" s="5" t="s">
        <v>411</v>
      </c>
      <c r="B18" s="6" t="s">
        <v>412</v>
      </c>
      <c r="C18" s="6" t="s">
        <v>38</v>
      </c>
      <c r="D18" s="6" t="s">
        <v>413</v>
      </c>
      <c r="E18" s="6" t="s">
        <v>414</v>
      </c>
      <c r="F18" s="6" t="s">
        <v>415</v>
      </c>
      <c r="G18" s="6" t="s">
        <v>369</v>
      </c>
      <c r="H18" s="7" t="s">
        <v>43</v>
      </c>
      <c r="I18" s="8" t="s">
        <v>8</v>
      </c>
      <c r="J18" s="6"/>
    </row>
    <row r="19" spans="1:10" ht="111.95" customHeight="1" x14ac:dyDescent="0.25">
      <c r="A19" s="5" t="s">
        <v>416</v>
      </c>
      <c r="B19" s="6" t="s">
        <v>417</v>
      </c>
      <c r="C19" s="6" t="s">
        <v>38</v>
      </c>
      <c r="D19" s="6" t="s">
        <v>418</v>
      </c>
      <c r="E19" s="6" t="s">
        <v>419</v>
      </c>
      <c r="F19" s="6" t="s">
        <v>420</v>
      </c>
      <c r="G19" s="6" t="s">
        <v>369</v>
      </c>
      <c r="H19" s="7" t="s">
        <v>43</v>
      </c>
      <c r="I19" s="8" t="s">
        <v>8</v>
      </c>
      <c r="J19" s="6"/>
    </row>
    <row r="20" spans="1:10" ht="111.95" customHeight="1" x14ac:dyDescent="0.25">
      <c r="A20" s="5" t="s">
        <v>421</v>
      </c>
      <c r="B20" s="6" t="s">
        <v>422</v>
      </c>
      <c r="C20" s="6" t="s">
        <v>38</v>
      </c>
      <c r="D20" s="6" t="s">
        <v>423</v>
      </c>
      <c r="E20" s="6" t="s">
        <v>424</v>
      </c>
      <c r="F20" s="6" t="s">
        <v>425</v>
      </c>
      <c r="G20" s="6" t="s">
        <v>369</v>
      </c>
      <c r="H20" s="7" t="s">
        <v>43</v>
      </c>
      <c r="I20" s="8" t="s">
        <v>8</v>
      </c>
      <c r="J20" s="6"/>
    </row>
    <row r="21" spans="1:10" ht="111.95" customHeight="1" x14ac:dyDescent="0.25">
      <c r="A21" s="5" t="s">
        <v>426</v>
      </c>
      <c r="B21" s="6" t="s">
        <v>427</v>
      </c>
      <c r="C21" s="6" t="s">
        <v>38</v>
      </c>
      <c r="D21" s="6" t="s">
        <v>428</v>
      </c>
      <c r="E21" s="6" t="s">
        <v>429</v>
      </c>
      <c r="F21" s="6" t="s">
        <v>430</v>
      </c>
      <c r="G21" s="6" t="s">
        <v>369</v>
      </c>
      <c r="H21" s="7" t="s">
        <v>43</v>
      </c>
      <c r="I21" s="8" t="s">
        <v>8</v>
      </c>
      <c r="J21" s="6"/>
    </row>
    <row r="22" spans="1:10" ht="111.95" customHeight="1" x14ac:dyDescent="0.25">
      <c r="A22" s="5" t="s">
        <v>431</v>
      </c>
      <c r="B22" s="6" t="s">
        <v>432</v>
      </c>
      <c r="C22" s="6" t="s">
        <v>38</v>
      </c>
      <c r="D22" s="6" t="s">
        <v>433</v>
      </c>
      <c r="E22" s="6" t="s">
        <v>434</v>
      </c>
      <c r="F22" s="6" t="s">
        <v>435</v>
      </c>
      <c r="G22" s="6" t="s">
        <v>369</v>
      </c>
      <c r="H22" s="7" t="s">
        <v>43</v>
      </c>
      <c r="I22" s="8" t="s">
        <v>8</v>
      </c>
      <c r="J22" s="6" t="s">
        <v>436</v>
      </c>
    </row>
    <row r="23" spans="1:10" ht="21.95" customHeight="1" x14ac:dyDescent="0.25">
      <c r="A23" s="19" t="s">
        <v>437</v>
      </c>
      <c r="B23" s="10"/>
      <c r="C23" s="10"/>
      <c r="D23" s="10"/>
      <c r="E23" s="10"/>
      <c r="F23" s="10"/>
      <c r="G23" s="10"/>
      <c r="H23" s="10"/>
      <c r="I23" s="10"/>
      <c r="J23" s="10"/>
    </row>
    <row r="24" spans="1:10" ht="111.95" customHeight="1" x14ac:dyDescent="0.25">
      <c r="A24" s="5" t="s">
        <v>438</v>
      </c>
      <c r="B24" s="6" t="s">
        <v>439</v>
      </c>
      <c r="C24" s="6" t="s">
        <v>38</v>
      </c>
      <c r="D24" s="6" t="s">
        <v>440</v>
      </c>
      <c r="E24" s="6" t="s">
        <v>441</v>
      </c>
      <c r="F24" s="6" t="s">
        <v>442</v>
      </c>
      <c r="G24" s="6" t="s">
        <v>369</v>
      </c>
      <c r="H24" s="7" t="s">
        <v>43</v>
      </c>
      <c r="I24" s="8" t="s">
        <v>8</v>
      </c>
      <c r="J24" s="6"/>
    </row>
    <row r="25" spans="1:10" ht="111.95" customHeight="1" x14ac:dyDescent="0.25">
      <c r="A25" s="5" t="s">
        <v>443</v>
      </c>
      <c r="B25" s="6" t="s">
        <v>444</v>
      </c>
      <c r="C25" s="6" t="s">
        <v>38</v>
      </c>
      <c r="D25" s="6" t="s">
        <v>445</v>
      </c>
      <c r="E25" s="6" t="s">
        <v>446</v>
      </c>
      <c r="F25" s="6" t="s">
        <v>447</v>
      </c>
      <c r="G25" s="6" t="s">
        <v>369</v>
      </c>
      <c r="H25" s="7" t="s">
        <v>43</v>
      </c>
      <c r="I25" s="8" t="s">
        <v>8</v>
      </c>
      <c r="J25" s="6"/>
    </row>
    <row r="26" spans="1:10" ht="111.95" customHeight="1" x14ac:dyDescent="0.25">
      <c r="A26" s="5" t="s">
        <v>448</v>
      </c>
      <c r="B26" s="6" t="s">
        <v>449</v>
      </c>
      <c r="C26" s="6" t="s">
        <v>38</v>
      </c>
      <c r="D26" s="6" t="s">
        <v>445</v>
      </c>
      <c r="E26" s="6" t="s">
        <v>450</v>
      </c>
      <c r="F26" s="6" t="s">
        <v>451</v>
      </c>
      <c r="G26" s="6" t="s">
        <v>369</v>
      </c>
      <c r="H26" s="7" t="s">
        <v>43</v>
      </c>
      <c r="I26" s="8" t="s">
        <v>8</v>
      </c>
      <c r="J26" s="6"/>
    </row>
    <row r="27" spans="1:10" ht="111.95" customHeight="1" x14ac:dyDescent="0.25">
      <c r="A27" s="5" t="s">
        <v>452</v>
      </c>
      <c r="B27" s="6" t="s">
        <v>453</v>
      </c>
      <c r="C27" s="6" t="s">
        <v>38</v>
      </c>
      <c r="D27" s="6" t="s">
        <v>454</v>
      </c>
      <c r="E27" s="6" t="s">
        <v>455</v>
      </c>
      <c r="F27" s="6" t="s">
        <v>456</v>
      </c>
      <c r="G27" s="6" t="s">
        <v>369</v>
      </c>
      <c r="H27" s="7" t="s">
        <v>43</v>
      </c>
      <c r="I27" s="8" t="s">
        <v>8</v>
      </c>
      <c r="J27" s="6" t="s">
        <v>457</v>
      </c>
    </row>
    <row r="28" spans="1:10" ht="111.95" customHeight="1" x14ac:dyDescent="0.25">
      <c r="A28" s="5" t="s">
        <v>458</v>
      </c>
      <c r="B28" s="6" t="s">
        <v>459</v>
      </c>
      <c r="C28" s="6" t="s">
        <v>38</v>
      </c>
      <c r="D28" s="6" t="s">
        <v>460</v>
      </c>
      <c r="E28" s="6" t="s">
        <v>461</v>
      </c>
      <c r="F28" s="6" t="s">
        <v>462</v>
      </c>
      <c r="G28" s="6" t="s">
        <v>369</v>
      </c>
      <c r="H28" s="7" t="s">
        <v>43</v>
      </c>
      <c r="I28" s="8" t="s">
        <v>8</v>
      </c>
      <c r="J28" s="6" t="s">
        <v>457</v>
      </c>
    </row>
    <row r="29" spans="1:10" ht="111.95" customHeight="1" x14ac:dyDescent="0.25">
      <c r="A29" s="5" t="s">
        <v>463</v>
      </c>
      <c r="B29" s="6" t="s">
        <v>464</v>
      </c>
      <c r="C29" s="6" t="s">
        <v>38</v>
      </c>
      <c r="D29" s="6" t="s">
        <v>465</v>
      </c>
      <c r="E29" s="6" t="s">
        <v>466</v>
      </c>
      <c r="F29" s="6" t="s">
        <v>467</v>
      </c>
      <c r="G29" s="6" t="s">
        <v>369</v>
      </c>
      <c r="H29" s="7" t="s">
        <v>43</v>
      </c>
      <c r="I29" s="8" t="s">
        <v>8</v>
      </c>
      <c r="J29" s="6"/>
    </row>
    <row r="30" spans="1:10" ht="21.95" customHeight="1" x14ac:dyDescent="0.25">
      <c r="A30" s="18" t="s">
        <v>468</v>
      </c>
      <c r="B30" s="10"/>
      <c r="C30" s="10"/>
      <c r="D30" s="10"/>
      <c r="E30" s="10"/>
      <c r="F30" s="10"/>
      <c r="G30" s="10"/>
      <c r="H30" s="10"/>
      <c r="I30" s="10"/>
      <c r="J30" s="10"/>
    </row>
    <row r="31" spans="1:10" ht="111.95" customHeight="1" x14ac:dyDescent="0.25">
      <c r="A31" s="5" t="s">
        <v>469</v>
      </c>
      <c r="B31" s="6" t="s">
        <v>470</v>
      </c>
      <c r="C31" s="6" t="s">
        <v>38</v>
      </c>
      <c r="D31" s="6" t="s">
        <v>445</v>
      </c>
      <c r="E31" s="6" t="s">
        <v>471</v>
      </c>
      <c r="F31" s="6" t="s">
        <v>472</v>
      </c>
      <c r="G31" s="6" t="s">
        <v>369</v>
      </c>
      <c r="H31" s="7" t="s">
        <v>43</v>
      </c>
      <c r="I31" s="8" t="s">
        <v>8</v>
      </c>
      <c r="J31" s="6"/>
    </row>
    <row r="32" spans="1:10" ht="111.95" customHeight="1" x14ac:dyDescent="0.25">
      <c r="A32" s="5" t="s">
        <v>473</v>
      </c>
      <c r="B32" s="6" t="s">
        <v>474</v>
      </c>
      <c r="C32" s="6" t="s">
        <v>38</v>
      </c>
      <c r="D32" s="6" t="s">
        <v>475</v>
      </c>
      <c r="E32" s="6" t="s">
        <v>476</v>
      </c>
      <c r="F32" s="6" t="s">
        <v>477</v>
      </c>
      <c r="G32" s="6" t="s">
        <v>369</v>
      </c>
      <c r="H32" s="7" t="s">
        <v>43</v>
      </c>
      <c r="I32" s="8" t="s">
        <v>8</v>
      </c>
      <c r="J32" s="6"/>
    </row>
  </sheetData>
  <autoFilter ref="A6:J32" xr:uid="{00000000-0009-0000-0000-000004000000}"/>
  <mergeCells count="8">
    <mergeCell ref="A1:J1"/>
    <mergeCell ref="A23:J23"/>
    <mergeCell ref="A2:B3"/>
    <mergeCell ref="A30:J30"/>
    <mergeCell ref="C2:J3"/>
    <mergeCell ref="A4:J4"/>
    <mergeCell ref="A7:J7"/>
    <mergeCell ref="A13:J13"/>
  </mergeCells>
  <conditionalFormatting sqref="I7:I32">
    <cfRule type="expression" dxfId="4" priority="1">
      <formula>ISNUMBER(SEARCH("Passed",I7))</formula>
    </cfRule>
    <cfRule type="expression" dxfId="3" priority="2">
      <formula>ISNUMBER(SEARCH("Failed",I7))</formula>
    </cfRule>
    <cfRule type="expression" dxfId="2" priority="3">
      <formula>ISNUMBER(SEARCH("Blocked",I7))</formula>
    </cfRule>
    <cfRule type="expression" dxfId="1" priority="4">
      <formula>ISNUMBER(SEARCH("In Progress",I7))</formula>
    </cfRule>
    <cfRule type="expression" dxfId="0" priority="5">
      <formula>ISNUMBER(SEARCH("Not Applicable",I7))</formula>
    </cfRule>
  </conditionalFormatting>
  <dataValidations count="2">
    <dataValidation type="list" allowBlank="1" sqref="H8:H12 H14:H22 H24:H29 H31:H32" xr:uid="{00000000-0002-0000-0400-000000000000}">
      <formula1>"Yes,No,Partial,Planned,TBD"</formula1>
    </dataValidation>
    <dataValidation type="list" allowBlank="1" sqref="I8:I12 I14:I22 I24:I29 I31:I32" xr:uid="{00000000-0002-0000-0400-000001000000}">
      <formula1>"Not Executed,In Progress,Passed,Failed,Blocked,Not Applicable"</formula1>
    </dataValidation>
  </dataValidations>
  <pageMargins left="0.75" right="0.75" top="1" bottom="1" header="0.5" footer="0.5"/>
  <pageSetup orientation="landscape"/>
</worksheet>
</file>

<file path=docMetadata/LabelInfo.xml><?xml version="1.0" encoding="utf-8"?>
<clbl:labelList xmlns:clbl="http://schemas.microsoft.com/office/2020/mipLabelMetadata">
  <clbl:label id="{3e32dd7c-41f6-492d-a1a3-c58eb02cf4f8}" enabled="0" method="" siteId="{3e32dd7c-41f6-492d-a1a3-c58eb02cf4f8}"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4</vt:i4>
      </vt:variant>
    </vt:vector>
  </HeadingPairs>
  <TitlesOfParts>
    <vt:vector size="9" baseType="lpstr">
      <vt:lpstr>Summary</vt:lpstr>
      <vt:lpstr>Audit Trail</vt:lpstr>
      <vt:lpstr>AR Payment and Reversal</vt:lpstr>
      <vt:lpstr>Invoice UI</vt:lpstr>
      <vt:lpstr>Standard Statements</vt:lpstr>
      <vt:lpstr>'AR Payment and Reversal'!Print_Titles</vt:lpstr>
      <vt:lpstr>'Audit Trail'!Print_Titles</vt:lpstr>
      <vt:lpstr>'Invoice UI'!Print_Titles</vt:lpstr>
      <vt:lpstr>'Standard Statements'!Print_Titles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Shiary, Subah</cp:lastModifiedBy>
  <dcterms:created xsi:type="dcterms:W3CDTF">2026-08-28T10:41:49Z</dcterms:created>
  <dcterms:modified xsi:type="dcterms:W3CDTF">2026-08-28T10:51:55Z</dcterms:modified>
</cp:coreProperties>
</file>